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Trial Balance Input" sheetId="2" state="visible" r:id="rId2"/>
    <sheet name="P&amp;L" sheetId="3" state="visible" r:id="rId3"/>
    <sheet name="Balance Sheet" sheetId="4" state="visible" r:id="rId4"/>
    <sheet name="Cash Flow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&quot;-&quot;"/>
    <numFmt numFmtId="165" formatCode="0.0%"/>
    <numFmt numFmtId="166" formatCode="0.00&quot;x&quot;"/>
  </numFmts>
  <fonts count="13">
    <font>
      <name val="Calibri"/>
      <family val="2"/>
      <color theme="1"/>
      <sz val="11"/>
      <scheme val="minor"/>
    </font>
    <font>
      <name val="Arial"/>
      <b val="1"/>
      <color rgb="00144936"/>
      <sz val="16"/>
    </font>
    <font>
      <name val="Arial"/>
      <i val="1"/>
      <color rgb="0055604F"/>
      <sz val="9"/>
    </font>
    <font>
      <name val="Arial"/>
      <b val="1"/>
      <sz val="10"/>
    </font>
    <font>
      <name val="Arial"/>
      <sz val="10"/>
    </font>
    <font>
      <name val="Arial"/>
      <i val="1"/>
      <color rgb="0055604F"/>
      <sz val="10"/>
    </font>
    <font>
      <name val="Arial"/>
      <i val="1"/>
      <color rgb="00B9671F"/>
      <sz val="9.5"/>
    </font>
    <font>
      <name val="Arial"/>
      <color rgb="000000FF"/>
    </font>
    <font>
      <name val="Arial"/>
      <b val="1"/>
      <color rgb="00FFFFFF"/>
      <sz val="11"/>
    </font>
    <font>
      <name val="Arial"/>
      <color rgb="0055604F"/>
      <sz val="9"/>
    </font>
    <font>
      <name val="Arial"/>
      <b val="1"/>
      <sz val="10.5"/>
    </font>
    <font>
      <name val="Arial"/>
      <b val="1"/>
    </font>
    <font>
      <name val="Arial"/>
      <i val="1"/>
      <color rgb="0055604F"/>
      <sz val="9.5"/>
    </font>
  </fonts>
  <fills count="3">
    <fill>
      <patternFill/>
    </fill>
    <fill>
      <patternFill patternType="gray125"/>
    </fill>
    <fill>
      <patternFill patternType="solid">
        <fgColor rgb="001F6F4F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7" fillId="0" borderId="0" pivotButton="0" quotePrefix="0" xfId="0"/>
    <xf numFmtId="164" fontId="7" fillId="0" borderId="0" pivotButton="0" quotePrefix="0" xfId="0"/>
    <xf numFmtId="0" fontId="8" fillId="2" borderId="0" pivotButton="0" quotePrefix="0" xfId="0"/>
    <xf numFmtId="0" fontId="9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10" fillId="0" borderId="0" pivotButton="0" quotePrefix="0" xfId="0"/>
    <xf numFmtId="164" fontId="10" fillId="0" borderId="1" pivotButton="0" quotePrefix="0" xfId="0"/>
    <xf numFmtId="165" fontId="10" fillId="0" borderId="0" pivotButton="0" quotePrefix="0" xfId="0"/>
    <xf numFmtId="165" fontId="0" fillId="0" borderId="0" pivotButton="0" quotePrefix="0" xfId="0"/>
    <xf numFmtId="0" fontId="11" fillId="0" borderId="0" pivotButton="0" quotePrefix="0" xfId="0"/>
    <xf numFmtId="0" fontId="5" fillId="0" borderId="0" pivotButton="0" quotePrefix="0" xfId="0"/>
    <xf numFmtId="166" fontId="0" fillId="0" borderId="0" pivotButton="0" quotePrefix="0" xfId="0"/>
    <xf numFmtId="0" fontId="1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showGridLines="0" workbookViewId="0">
      <selection activeCell="A1" sqref="A1"/>
    </sheetView>
  </sheetViews>
  <sheetFormatPr baseColWidth="8" defaultRowHeight="15" outlineLevelCol="0"/>
  <cols>
    <col width="100" customWidth="1" min="1" max="1"/>
  </cols>
  <sheetData>
    <row r="1">
      <c r="A1" s="1" t="inlineStr">
        <is>
          <t>NewFinera — 3-Statement Model Template</t>
        </is>
      </c>
    </row>
    <row r="2">
      <c r="A2" s="2" t="inlineStr">
        <is>
          <t>Fill in once per client; P&amp;L, Balance Sheet, Cash Flow and Dashboard calculate automatically.</t>
        </is>
      </c>
    </row>
    <row r="4">
      <c r="A4" s="3" t="inlineStr">
        <is>
          <t>1. Client Finance Officer brief</t>
        </is>
      </c>
    </row>
    <row r="5" ht="30" customHeight="1">
      <c r="A5" s="4" t="inlineStr">
        <is>
          <t>Run docs/templates/client-finance-officer-brief.md first — this model assumes that intake is done.</t>
        </is>
      </c>
    </row>
    <row r="7">
      <c r="A7" s="3" t="inlineStr">
        <is>
          <t>2. Fill the Trial Balance Input tab</t>
        </is>
      </c>
    </row>
    <row r="8" ht="30" customHeight="1">
      <c r="A8" s="4" t="inlineStr">
        <is>
          <t>Enter the client's name, reporting period, GST basis, and every trial balance line with its Category (pick from the dropdown) and Prior/Current period closing balances. Blue cells are the only ones to edit.</t>
        </is>
      </c>
    </row>
    <row r="10">
      <c r="A10" s="3" t="inlineStr">
        <is>
          <t>3. Check the tie-outs</t>
        </is>
      </c>
    </row>
    <row r="11" ht="30" customHeight="1">
      <c r="A11" s="4" t="inlineStr">
        <is>
          <t>Balance Sheet tab: Total Assets must equal Total Liabilities + Equity (both periods). Cash Flow tab: the computed closing cash must equal the Balance Sheet’s actual Cash balance. Both are automatic checks — if either shows an exception, the trial balance categorisation needs review before delivery.</t>
        </is>
      </c>
    </row>
    <row r="13">
      <c r="A13" s="3" t="inlineStr">
        <is>
          <t>4. Read off P&amp;L, Balance Sheet, Cash Flow</t>
        </is>
      </c>
    </row>
    <row r="14" ht="30" customHeight="1">
      <c r="A14" s="4" t="inlineStr">
        <is>
          <t>Each tab is fully formula-driven from the Input tab — nothing else to fill in.</t>
        </is>
      </c>
    </row>
    <row r="16">
      <c r="A16" s="3" t="inlineStr">
        <is>
          <t>5. Feed the Dashboard</t>
        </is>
      </c>
    </row>
    <row r="17" ht="30" customHeight="1">
      <c r="A17" s="4" t="inlineStr">
        <is>
          <t>The Dashboard tab mirrors the KPIs the React dashboard product (product/dashboard/) shows a client — use its figures when populating that dashboard’s *Card.tsx sample-data files with real numbers.</t>
        </is>
      </c>
    </row>
    <row r="20">
      <c r="A20" s="3" t="inlineStr">
        <is>
          <t>Method notes</t>
        </is>
      </c>
    </row>
    <row r="21" ht="70" customHeight="1">
      <c r="A21" s="5" t="inlineStr">
        <is>
          <t>Cash Flow uses the indirect method: Net Profit, plus the Depreciation &amp; Amortisation addback, plus/minus the period movement in each working-capital category. The Non-Current Assets movement in Investing is grossed up by the depreciation addback (NCA close − NCA open + Depreciation) so the statement ties to actual cash spent on capex, not just the net book-value change. Retained Earnings is derived, never a trial-balance input: Closing RE = Opening RE + Net Profit − Drawings/Dividends, rolled forward one period at a time from the single Opening Retained Earnings figure on the Input tab.</t>
        </is>
      </c>
    </row>
    <row r="23" ht="30" customHeight="1">
      <c r="A23" s="6" t="inlineStr">
        <is>
          <t>This model is prep-only, same as every other tool in this repo: it never lodges or files anything. Verify current AASB 1060 / GST / reporting-threshold treatment per docs/REPORTING-STANDARDS.md before relying on any figure for a real client filing.</t>
        </is>
      </c>
    </row>
  </sheetData>
  <mergeCells count="2">
    <mergeCell ref="A2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2"/>
  <sheetViews>
    <sheetView showGridLines="0" workbookViewId="0">
      <selection activeCell="A1" sqref="A1"/>
    </sheetView>
  </sheetViews>
  <sheetFormatPr baseColWidth="8" defaultRowHeight="15" outlineLevelCol="0"/>
  <cols>
    <col width="28" customWidth="1" min="1" max="1"/>
    <col width="24" customWidth="1" min="2" max="2"/>
    <col width="16" customWidth="1" min="3" max="3"/>
    <col width="16" customWidth="1" min="4" max="4"/>
  </cols>
  <sheetData>
    <row r="1">
      <c r="A1" s="1" t="inlineStr">
        <is>
          <t>Trial Balance Input</t>
        </is>
      </c>
    </row>
    <row r="2">
      <c r="A2" s="2" t="inlineStr">
        <is>
          <t>Blue cells only. One row per account. Category drives every downstream formula.</t>
        </is>
      </c>
    </row>
    <row r="4">
      <c r="A4" s="3" t="inlineStr">
        <is>
          <t>Client Business Name</t>
        </is>
      </c>
      <c r="B4" s="7" t="inlineStr">
        <is>
          <t>[Example Trading Co Pty Ltd]</t>
        </is>
      </c>
      <c r="C4" s="3" t="inlineStr">
        <is>
          <t>Current Period</t>
        </is>
      </c>
      <c r="D4" s="7" t="inlineStr">
        <is>
          <t>FY2026 (1 Jul 2025 – 30 Jun 2026)</t>
        </is>
      </c>
    </row>
    <row r="5">
      <c r="A5" s="3" t="inlineStr">
        <is>
          <t>Retained Earnings — opening balance, start of PRIOR period</t>
        </is>
      </c>
      <c r="C5" s="8" t="n">
        <v>25000</v>
      </c>
      <c r="D5" s="2" t="inlineStr">
        <is>
          <t>single figure — not a repeating TB line</t>
        </is>
      </c>
    </row>
    <row r="7">
      <c r="A7" s="9" t="inlineStr">
        <is>
          <t>Account Name</t>
        </is>
      </c>
      <c r="B7" s="9" t="inlineStr">
        <is>
          <t>Category</t>
        </is>
      </c>
      <c r="C7" s="9" t="inlineStr">
        <is>
          <t>Prior Period ($)</t>
        </is>
      </c>
      <c r="D7" s="9" t="inlineStr">
        <is>
          <t>Current Period ($)</t>
        </is>
      </c>
    </row>
    <row r="8">
      <c r="A8" t="inlineStr">
        <is>
          <t>Sales Revenue</t>
        </is>
      </c>
      <c r="B8" s="7" t="inlineStr">
        <is>
          <t>Revenue</t>
        </is>
      </c>
      <c r="C8" s="8" t="n">
        <v>380000</v>
      </c>
      <c r="D8" s="8" t="n">
        <v>450000</v>
      </c>
    </row>
    <row r="9">
      <c r="A9" t="inlineStr">
        <is>
          <t>Cost of Goods Sold</t>
        </is>
      </c>
      <c r="B9" s="7" t="inlineStr">
        <is>
          <t>COGS</t>
        </is>
      </c>
      <c r="C9" s="8" t="n">
        <v>190000</v>
      </c>
      <c r="D9" s="8" t="n">
        <v>220000</v>
      </c>
    </row>
    <row r="10">
      <c r="A10" t="inlineStr">
        <is>
          <t>Rent</t>
        </is>
      </c>
      <c r="B10" s="7" t="inlineStr">
        <is>
          <t>Operating Expenses</t>
        </is>
      </c>
      <c r="C10" s="8" t="n">
        <v>24000</v>
      </c>
      <c r="D10" s="8" t="n">
        <v>24000</v>
      </c>
    </row>
    <row r="11">
      <c r="A11" t="inlineStr">
        <is>
          <t>Wages &amp; Salaries</t>
        </is>
      </c>
      <c r="B11" s="7" t="inlineStr">
        <is>
          <t>Operating Expenses</t>
        </is>
      </c>
      <c r="C11" s="8" t="n">
        <v>90000</v>
      </c>
      <c r="D11" s="8" t="n">
        <v>105000</v>
      </c>
    </row>
    <row r="12">
      <c r="A12" t="inlineStr">
        <is>
          <t>Marketing &amp; Advertising</t>
        </is>
      </c>
      <c r="B12" s="7" t="inlineStr">
        <is>
          <t>Operating Expenses</t>
        </is>
      </c>
      <c r="C12" s="8" t="n">
        <v>15000</v>
      </c>
      <c r="D12" s="8" t="n">
        <v>20000</v>
      </c>
    </row>
    <row r="13">
      <c r="A13" t="inlineStr">
        <is>
          <t>Utilities</t>
        </is>
      </c>
      <c r="B13" s="7" t="inlineStr">
        <is>
          <t>Operating Expenses</t>
        </is>
      </c>
      <c r="C13" s="8" t="n">
        <v>6000</v>
      </c>
      <c r="D13" s="8" t="n">
        <v>6500</v>
      </c>
    </row>
    <row r="14">
      <c r="A14" t="inlineStr">
        <is>
          <t>Insurance</t>
        </is>
      </c>
      <c r="B14" s="7" t="inlineStr">
        <is>
          <t>Operating Expenses</t>
        </is>
      </c>
      <c r="C14" s="8" t="n">
        <v>4000</v>
      </c>
      <c r="D14" s="8" t="n">
        <v>4200</v>
      </c>
    </row>
    <row r="15">
      <c r="A15" t="inlineStr">
        <is>
          <t>Office Supplies</t>
        </is>
      </c>
      <c r="B15" s="7" t="inlineStr">
        <is>
          <t>Operating Expenses</t>
        </is>
      </c>
      <c r="C15" s="8" t="n">
        <v>3000</v>
      </c>
      <c r="D15" s="8" t="n">
        <v>3300</v>
      </c>
    </row>
    <row r="16">
      <c r="A16" t="inlineStr">
        <is>
          <t>Depreciation Expense</t>
        </is>
      </c>
      <c r="B16" s="7" t="inlineStr">
        <is>
          <t>Depreciation &amp; Amortisation</t>
        </is>
      </c>
      <c r="C16" s="8" t="n">
        <v>12000</v>
      </c>
      <c r="D16" s="8" t="n">
        <v>14000</v>
      </c>
    </row>
    <row r="17">
      <c r="A17" t="inlineStr">
        <is>
          <t>Interest on Loan</t>
        </is>
      </c>
      <c r="B17" s="7" t="inlineStr">
        <is>
          <t>Interest Expense</t>
        </is>
      </c>
      <c r="C17" s="8" t="n">
        <v>5000</v>
      </c>
      <c r="D17" s="8" t="n">
        <v>4500</v>
      </c>
    </row>
    <row r="18">
      <c r="A18" t="inlineStr">
        <is>
          <t>Income Tax Expense</t>
        </is>
      </c>
      <c r="B18" s="7" t="inlineStr">
        <is>
          <t>Tax Expense</t>
        </is>
      </c>
      <c r="C18" s="8" t="n">
        <v>8000</v>
      </c>
      <c r="D18" s="8" t="n">
        <v>12000</v>
      </c>
    </row>
    <row r="19">
      <c r="A19" t="inlineStr">
        <is>
          <t>Cash at Bank</t>
        </is>
      </c>
      <c r="B19" s="7" t="inlineStr">
        <is>
          <t>Cash</t>
        </is>
      </c>
      <c r="C19" s="8" t="n">
        <v>48000</v>
      </c>
      <c r="D19" s="8" t="n">
        <v>39000</v>
      </c>
    </row>
    <row r="20">
      <c r="A20" t="inlineStr">
        <is>
          <t>Trade Receivables</t>
        </is>
      </c>
      <c r="B20" s="7" t="inlineStr">
        <is>
          <t>Other Current Assets</t>
        </is>
      </c>
      <c r="C20" s="8" t="n">
        <v>28000</v>
      </c>
      <c r="D20" s="8" t="n">
        <v>34000</v>
      </c>
    </row>
    <row r="21">
      <c r="A21" t="inlineStr">
        <is>
          <t>Inventory</t>
        </is>
      </c>
      <c r="B21" s="7" t="inlineStr">
        <is>
          <t>Other Current Assets</t>
        </is>
      </c>
      <c r="C21" s="8" t="n">
        <v>45000</v>
      </c>
      <c r="D21" s="8" t="n">
        <v>52000</v>
      </c>
    </row>
    <row r="22">
      <c r="A22" t="inlineStr">
        <is>
          <t>Equipment &amp; Fixtures (net)</t>
        </is>
      </c>
      <c r="B22" s="7" t="inlineStr">
        <is>
          <t>Non-Current Assets</t>
        </is>
      </c>
      <c r="C22" s="8" t="n">
        <v>60000</v>
      </c>
      <c r="D22" s="8" t="n">
        <v>70000</v>
      </c>
    </row>
    <row r="23">
      <c r="A23" t="inlineStr">
        <is>
          <t>Trade Payables</t>
        </is>
      </c>
      <c r="B23" s="7" t="inlineStr">
        <is>
          <t>Current Liabilities</t>
        </is>
      </c>
      <c r="C23" s="8" t="n">
        <v>22000</v>
      </c>
      <c r="D23" s="8" t="n">
        <v>26000</v>
      </c>
    </row>
    <row r="24">
      <c r="A24" t="inlineStr">
        <is>
          <t>GST Payable</t>
        </is>
      </c>
      <c r="B24" s="7" t="inlineStr">
        <is>
          <t>Current Liabilities</t>
        </is>
      </c>
      <c r="C24" s="8" t="n">
        <v>6000</v>
      </c>
      <c r="D24" s="8" t="n">
        <v>7500</v>
      </c>
    </row>
    <row r="25">
      <c r="A25" t="inlineStr">
        <is>
          <t>Bank Loan (long-term)</t>
        </is>
      </c>
      <c r="B25" s="7" t="inlineStr">
        <is>
          <t>Non-Current Liabilities</t>
        </is>
      </c>
      <c r="C25" s="8" t="n">
        <v>70000</v>
      </c>
      <c r="D25" s="8" t="n">
        <v>60000</v>
      </c>
    </row>
    <row r="26">
      <c r="A26" t="inlineStr">
        <is>
          <t>Owner's Capital</t>
        </is>
      </c>
      <c r="B26" s="7" t="inlineStr">
        <is>
          <t>Share Capital</t>
        </is>
      </c>
      <c r="C26" s="8" t="n">
        <v>50000</v>
      </c>
      <c r="D26" s="8" t="n">
        <v>50000</v>
      </c>
    </row>
    <row r="27">
      <c r="A27" t="inlineStr">
        <is>
          <t>Owner Drawings</t>
        </is>
      </c>
      <c r="B27" s="7" t="inlineStr">
        <is>
          <t>Drawings/Dividends Paid</t>
        </is>
      </c>
      <c r="C27" s="8" t="n">
        <v>15000</v>
      </c>
      <c r="D27" s="8" t="n">
        <v>18000</v>
      </c>
    </row>
    <row r="29">
      <c r="A29" s="2" t="inlineStr">
        <is>
          <t>Category reference (exact spelling the formulas key on):</t>
        </is>
      </c>
    </row>
    <row r="30">
      <c r="A30" s="10" t="inlineStr">
        <is>
          <t>• Revenue</t>
        </is>
      </c>
    </row>
    <row r="31">
      <c r="A31" s="10" t="inlineStr">
        <is>
          <t>• COGS</t>
        </is>
      </c>
    </row>
    <row r="32">
      <c r="A32" s="10" t="inlineStr">
        <is>
          <t>• Operating Expenses</t>
        </is>
      </c>
    </row>
    <row r="33">
      <c r="A33" s="10" t="inlineStr">
        <is>
          <t>• Depreciation &amp; Amortisation</t>
        </is>
      </c>
    </row>
    <row r="34">
      <c r="A34" s="10" t="inlineStr">
        <is>
          <t>• Interest Expense</t>
        </is>
      </c>
    </row>
    <row r="35">
      <c r="A35" s="10" t="inlineStr">
        <is>
          <t>• Tax Expense</t>
        </is>
      </c>
    </row>
    <row r="36">
      <c r="A36" s="10" t="inlineStr">
        <is>
          <t>• Cash</t>
        </is>
      </c>
    </row>
    <row r="37">
      <c r="A37" s="10" t="inlineStr">
        <is>
          <t>• Other Current Assets</t>
        </is>
      </c>
    </row>
    <row r="38">
      <c r="A38" s="10" t="inlineStr">
        <is>
          <t>• Non-Current Assets</t>
        </is>
      </c>
    </row>
    <row r="39">
      <c r="A39" s="10" t="inlineStr">
        <is>
          <t>• Current Liabilities</t>
        </is>
      </c>
    </row>
    <row r="40">
      <c r="A40" s="10" t="inlineStr">
        <is>
          <t>• Non-Current Liabilities</t>
        </is>
      </c>
    </row>
    <row r="41">
      <c r="A41" s="10" t="inlineStr">
        <is>
          <t>• Share Capital</t>
        </is>
      </c>
    </row>
    <row r="42">
      <c r="A42" s="10" t="inlineStr">
        <is>
          <t>• Drawings/Dividends Paid</t>
        </is>
      </c>
    </row>
  </sheetData>
  <mergeCells count="3">
    <mergeCell ref="A1:D1"/>
    <mergeCell ref="A2:D2"/>
    <mergeCell ref="A5:B5"/>
  </mergeCells>
  <dataValidations count="1">
    <dataValidation sqref="B8:B37" showDropDown="0" showInputMessage="0" showErrorMessage="0" allowBlank="0" errorTitle="Invalid category" error="Pick a category from the list." type="list">
      <formula1>"Revenue,COGS,Operating Expenses,Depreciation &amp; Amortisation,Interest Expense,Tax Expense,Cash,Other Current Assets,Non-Current Assets,Current Liabilities,Non-Current Liabilities,Share Capital,Drawings/Dividends Paid"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  <col width="16" customWidth="1" min="3" max="3"/>
    <col width="12" customWidth="1" min="4" max="4"/>
  </cols>
  <sheetData>
    <row r="1">
      <c r="A1" s="1" t="inlineStr">
        <is>
          <t>Profit &amp; Loss</t>
        </is>
      </c>
    </row>
    <row r="2">
      <c r="A2" s="2" t="inlineStr">
        <is>
          <t>[Example Trading Co Pty Ltd] — formula-driven from Trial Balance Input</t>
        </is>
      </c>
    </row>
    <row r="4">
      <c r="A4" s="9" t="inlineStr"/>
      <c r="B4" s="9" t="inlineStr">
        <is>
          <t>Prior Period</t>
        </is>
      </c>
      <c r="C4" s="9" t="inlineStr">
        <is>
          <t>Current Period</t>
        </is>
      </c>
      <c r="D4" s="9" t="inlineStr">
        <is>
          <t>Variance</t>
        </is>
      </c>
    </row>
    <row r="5">
      <c r="A5" s="11" t="inlineStr">
        <is>
          <t>Revenue</t>
        </is>
      </c>
      <c r="B5" s="12">
        <f>SUMIF('Trial Balance Input'!$B$8:$B$27,"Revenue",'Trial Balance Input'!$C$8:$C$27)</f>
        <v/>
      </c>
      <c r="C5" s="12">
        <f>SUMIF('Trial Balance Input'!$B$8:$B$27,"Revenue",'Trial Balance Input'!$D$8:$D$27)</f>
        <v/>
      </c>
    </row>
    <row r="6">
      <c r="A6" s="11" t="inlineStr">
        <is>
          <t>less Cost of Goods Sold</t>
        </is>
      </c>
      <c r="B6" s="12">
        <f>SUMIF('Trial Balance Input'!$B$8:$B$27,"COGS",'Trial Balance Input'!$C$8:$C$27)</f>
        <v/>
      </c>
      <c r="C6" s="12">
        <f>SUMIF('Trial Balance Input'!$B$8:$B$27,"COGS",'Trial Balance Input'!$D$8:$D$27)</f>
        <v/>
      </c>
    </row>
    <row r="7">
      <c r="A7" s="13" t="inlineStr">
        <is>
          <t>Gross Profit</t>
        </is>
      </c>
      <c r="B7" s="14">
        <f>B5-B6</f>
        <v/>
      </c>
      <c r="C7" s="14">
        <f>C5-C6</f>
        <v/>
      </c>
      <c r="D7" s="15">
        <f>IFERROR((C7-B7)/ABS(B7),"-")</f>
        <v/>
      </c>
    </row>
    <row r="9">
      <c r="A9" s="11" t="inlineStr">
        <is>
          <t>less Operating Expenses</t>
        </is>
      </c>
      <c r="B9" s="12">
        <f>SUMIF('Trial Balance Input'!$B$8:$B$27,"Operating Expenses",'Trial Balance Input'!$C$8:$C$27)</f>
        <v/>
      </c>
      <c r="C9" s="12">
        <f>SUMIF('Trial Balance Input'!$B$8:$B$27,"Operating Expenses",'Trial Balance Input'!$D$8:$D$27)</f>
        <v/>
      </c>
    </row>
    <row r="10">
      <c r="A10" s="11" t="inlineStr">
        <is>
          <t>less Depreciation &amp; Amortisation</t>
        </is>
      </c>
      <c r="B10" s="12">
        <f>SUMIF('Trial Balance Input'!$B$8:$B$27,"Depreciation &amp; Amortisation",'Trial Balance Input'!$C$8:$C$27)</f>
        <v/>
      </c>
      <c r="C10" s="12">
        <f>SUMIF('Trial Balance Input'!$B$8:$B$27,"Depreciation &amp; Amortisation",'Trial Balance Input'!$D$8:$D$27)</f>
        <v/>
      </c>
    </row>
    <row r="11">
      <c r="A11" s="13" t="inlineStr">
        <is>
          <t>EBIT</t>
        </is>
      </c>
      <c r="B11" s="14">
        <f>B7-B9-B10</f>
        <v/>
      </c>
      <c r="C11" s="14">
        <f>C7-C9-C10</f>
        <v/>
      </c>
      <c r="D11" s="15">
        <f>IFERROR((C11-B11)/ABS(B11),"-")</f>
        <v/>
      </c>
    </row>
    <row r="13">
      <c r="A13" s="11" t="inlineStr">
        <is>
          <t>less Interest Expense</t>
        </is>
      </c>
      <c r="B13" s="12">
        <f>SUMIF('Trial Balance Input'!$B$8:$B$27,"Interest Expense",'Trial Balance Input'!$C$8:$C$27)</f>
        <v/>
      </c>
      <c r="C13" s="12">
        <f>SUMIF('Trial Balance Input'!$B$8:$B$27,"Interest Expense",'Trial Balance Input'!$D$8:$D$27)</f>
        <v/>
      </c>
    </row>
    <row r="14">
      <c r="A14" s="13" t="inlineStr">
        <is>
          <t>Profit before tax</t>
        </is>
      </c>
      <c r="B14" s="14">
        <f>B11-B13</f>
        <v/>
      </c>
      <c r="C14" s="14">
        <f>C11-C13</f>
        <v/>
      </c>
      <c r="D14" s="15">
        <f>IFERROR((C14-B14)/ABS(B14),"-")</f>
        <v/>
      </c>
    </row>
    <row r="16">
      <c r="A16" s="11" t="inlineStr">
        <is>
          <t>less Tax Expense</t>
        </is>
      </c>
      <c r="B16" s="12">
        <f>SUMIF('Trial Balance Input'!$B$8:$B$27,"Tax Expense",'Trial Balance Input'!$C$8:$C$27)</f>
        <v/>
      </c>
      <c r="C16" s="12">
        <f>SUMIF('Trial Balance Input'!$B$8:$B$27,"Tax Expense",'Trial Balance Input'!$D$8:$D$27)</f>
        <v/>
      </c>
    </row>
    <row r="17">
      <c r="A17" s="13" t="inlineStr">
        <is>
          <t>Net Profit</t>
        </is>
      </c>
      <c r="B17" s="14">
        <f>B14-B16</f>
        <v/>
      </c>
      <c r="C17" s="14">
        <f>C14-C16</f>
        <v/>
      </c>
      <c r="D17" s="15">
        <f>IFERROR((C17-B17)/ABS(B17),"-")</f>
        <v/>
      </c>
    </row>
    <row r="20">
      <c r="A20" s="3" t="inlineStr">
        <is>
          <t>Gross Margin %</t>
        </is>
      </c>
      <c r="B20" s="16">
        <f>IFERROR(B7/B5,"-")</f>
        <v/>
      </c>
      <c r="C20" s="16">
        <f>IFERROR(C7/C5,"-")</f>
        <v/>
      </c>
    </row>
    <row r="21">
      <c r="A21" s="3" t="inlineStr">
        <is>
          <t>Net Margin %</t>
        </is>
      </c>
      <c r="B21" s="16">
        <f>IFERROR(B17/B5,"-")</f>
        <v/>
      </c>
      <c r="C21" s="16">
        <f>IFERROR(C17/C5,"-")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  <col width="16" customWidth="1" min="3" max="3"/>
    <col width="12" customWidth="1" min="4" max="4"/>
  </cols>
  <sheetData>
    <row r="1">
      <c r="A1" s="1" t="inlineStr">
        <is>
          <t>Balance Sheet</t>
        </is>
      </c>
    </row>
    <row r="2">
      <c r="A2" s="2" t="inlineStr">
        <is>
          <t>[Example Trading Co Pty Ltd] — formula-driven from Trial Balance Input and P&amp;L</t>
        </is>
      </c>
    </row>
    <row r="4">
      <c r="A4" s="9" t="inlineStr"/>
      <c r="B4" s="9" t="inlineStr">
        <is>
          <t>Prior Period</t>
        </is>
      </c>
      <c r="C4" s="9" t="inlineStr">
        <is>
          <t>Current Period</t>
        </is>
      </c>
      <c r="D4" s="9" t="inlineStr"/>
    </row>
    <row r="5">
      <c r="A5" s="3" t="inlineStr">
        <is>
          <t>ASSETS</t>
        </is>
      </c>
    </row>
    <row r="6">
      <c r="A6" s="11" t="inlineStr">
        <is>
          <t xml:space="preserve">    Cash</t>
        </is>
      </c>
      <c r="B6" s="12">
        <f>SUMIF('Trial Balance Input'!$B$8:$B$27,"Cash",'Trial Balance Input'!$C$8:$C$27)</f>
        <v/>
      </c>
      <c r="C6" s="12">
        <f>SUMIF('Trial Balance Input'!$B$8:$B$27,"Cash",'Trial Balance Input'!$D$8:$D$27)</f>
        <v/>
      </c>
    </row>
    <row r="7">
      <c r="A7" s="11" t="inlineStr">
        <is>
          <t xml:space="preserve">    Other Current Assets (receivables, inventory, etc.)</t>
        </is>
      </c>
      <c r="B7" s="12">
        <f>SUMIF('Trial Balance Input'!$B$8:$B$27,"Other Current Assets",'Trial Balance Input'!$C$8:$C$27)</f>
        <v/>
      </c>
      <c r="C7" s="12">
        <f>SUMIF('Trial Balance Input'!$B$8:$B$27,"Other Current Assets",'Trial Balance Input'!$D$8:$D$27)</f>
        <v/>
      </c>
    </row>
    <row r="8">
      <c r="A8" s="13" t="inlineStr">
        <is>
          <t>Total Current Assets</t>
        </is>
      </c>
      <c r="B8" s="14">
        <f>B6+B7</f>
        <v/>
      </c>
      <c r="C8" s="14">
        <f>C6+C7</f>
        <v/>
      </c>
    </row>
    <row r="9">
      <c r="A9" s="11" t="inlineStr">
        <is>
          <t xml:space="preserve">    Non-Current Assets</t>
        </is>
      </c>
      <c r="B9" s="12">
        <f>SUMIF('Trial Balance Input'!$B$8:$B$27,"Non-Current Assets",'Trial Balance Input'!$C$8:$C$27)</f>
        <v/>
      </c>
      <c r="C9" s="12">
        <f>SUMIF('Trial Balance Input'!$B$8:$B$27,"Non-Current Assets",'Trial Balance Input'!$D$8:$D$27)</f>
        <v/>
      </c>
    </row>
    <row r="10">
      <c r="A10" s="13" t="inlineStr">
        <is>
          <t>TOTAL ASSETS</t>
        </is>
      </c>
      <c r="B10" s="14">
        <f>B8+B9</f>
        <v/>
      </c>
      <c r="C10" s="14">
        <f>C8+C9</f>
        <v/>
      </c>
    </row>
    <row r="12">
      <c r="A12" s="3" t="inlineStr">
        <is>
          <t>LIABILITIES</t>
        </is>
      </c>
    </row>
    <row r="13">
      <c r="A13" s="11" t="inlineStr">
        <is>
          <t xml:space="preserve">    Current Liabilities</t>
        </is>
      </c>
      <c r="B13" s="12">
        <f>SUMIF('Trial Balance Input'!$B$8:$B$27,"Current Liabilities",'Trial Balance Input'!$C$8:$C$27)</f>
        <v/>
      </c>
      <c r="C13" s="12">
        <f>SUMIF('Trial Balance Input'!$B$8:$B$27,"Current Liabilities",'Trial Balance Input'!$D$8:$D$27)</f>
        <v/>
      </c>
    </row>
    <row r="14">
      <c r="A14" s="11" t="inlineStr">
        <is>
          <t xml:space="preserve">    Non-Current Liabilities</t>
        </is>
      </c>
      <c r="B14" s="12">
        <f>SUMIF('Trial Balance Input'!$B$8:$B$27,"Non-Current Liabilities",'Trial Balance Input'!$C$8:$C$27)</f>
        <v/>
      </c>
      <c r="C14" s="12">
        <f>SUMIF('Trial Balance Input'!$B$8:$B$27,"Non-Current Liabilities",'Trial Balance Input'!$D$8:$D$27)</f>
        <v/>
      </c>
    </row>
    <row r="15">
      <c r="A15" s="13" t="inlineStr">
        <is>
          <t>TOTAL LIABILITIES</t>
        </is>
      </c>
      <c r="B15" s="14">
        <f>B13+B14</f>
        <v/>
      </c>
      <c r="C15" s="14">
        <f>C13+C14</f>
        <v/>
      </c>
    </row>
    <row r="17">
      <c r="A17" s="3" t="inlineStr">
        <is>
          <t>EQUITY</t>
        </is>
      </c>
    </row>
    <row r="18">
      <c r="A18" s="11" t="inlineStr">
        <is>
          <t xml:space="preserve">    Share Capital</t>
        </is>
      </c>
      <c r="B18" s="12">
        <f>SUMIF('Trial Balance Input'!$B$8:$B$27,"Share Capital",'Trial Balance Input'!$C$8:$C$27)</f>
        <v/>
      </c>
      <c r="C18" s="12">
        <f>SUMIF('Trial Balance Input'!$B$8:$B$27,"Share Capital",'Trial Balance Input'!$D$8:$D$27)</f>
        <v/>
      </c>
    </row>
    <row r="19">
      <c r="A19" s="11" t="inlineStr">
        <is>
          <t xml:space="preserve">    (memo) Drawings/Dividends Paid in the period</t>
        </is>
      </c>
      <c r="B19" s="12">
        <f>SUMIF('Trial Balance Input'!$B$8:$B$27,"Drawings/Dividends Paid",'Trial Balance Input'!$C$8:$C$27)</f>
        <v/>
      </c>
      <c r="C19" s="12">
        <f>SUMIF('Trial Balance Input'!$B$8:$B$27,"Drawings/Dividends Paid",'Trial Balance Input'!$D$8:$D$27)</f>
        <v/>
      </c>
    </row>
    <row r="20">
      <c r="A20" s="11" t="inlineStr">
        <is>
          <t>Retained Earnings (closing)</t>
        </is>
      </c>
      <c r="B20" s="12">
        <f>'Trial Balance Input'!$C$5+'P&amp;L'!B17-B19</f>
        <v/>
      </c>
      <c r="C20" s="12">
        <f>B20+'P&amp;L'!C17-C19</f>
        <v/>
      </c>
    </row>
    <row r="21">
      <c r="A21" s="13" t="inlineStr">
        <is>
          <t>TOTAL EQUITY</t>
        </is>
      </c>
      <c r="B21" s="14">
        <f>B18+B20</f>
        <v/>
      </c>
      <c r="C21" s="14">
        <f>C18+C20</f>
        <v/>
      </c>
    </row>
    <row r="23">
      <c r="A23" s="13" t="inlineStr">
        <is>
          <t>TOTAL LIABILITIES + EQUITY</t>
        </is>
      </c>
      <c r="B23" s="14">
        <f>B15+B21</f>
        <v/>
      </c>
      <c r="C23" s="14">
        <f>C15+C21</f>
        <v/>
      </c>
    </row>
    <row r="25">
      <c r="A25" s="3" t="inlineStr">
        <is>
          <t>Balance check (Assets − Liabilities − Equity)</t>
        </is>
      </c>
      <c r="B25" s="12">
        <f>B10-B23</f>
        <v/>
      </c>
      <c r="C25" s="12">
        <f>C10-C23</f>
        <v/>
      </c>
    </row>
    <row r="26">
      <c r="A26" s="17">
        <f>IF(AND(ABS(B25)&lt;1,ABS(C25)&lt;1),"TIES — Assets = Liabilities + Equity, both periods","EXCEPTION — does not balance, review the trial balance categorisation")</f>
        <v/>
      </c>
    </row>
  </sheetData>
  <mergeCells count="3">
    <mergeCell ref="A1:D1"/>
    <mergeCell ref="A26:D26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8"/>
  <sheetViews>
    <sheetView showGridLines="0" workbookViewId="0">
      <selection activeCell="A1" sqref="A1"/>
    </sheetView>
  </sheetViews>
  <sheetFormatPr baseColWidth="8" defaultRowHeight="15" outlineLevelCol="0"/>
  <cols>
    <col width="42" customWidth="1" min="1" max="1"/>
    <col width="16" customWidth="1" min="2" max="2"/>
    <col width="60" customWidth="1" min="3" max="3"/>
  </cols>
  <sheetData>
    <row r="1">
      <c r="A1" s="1" t="inlineStr">
        <is>
          <t>Cash Flow Statement (indirect method)</t>
        </is>
      </c>
    </row>
    <row r="2">
      <c r="A2" s="2" t="inlineStr">
        <is>
          <t>[Example Trading Co Pty Ltd] — current period movement, formula-driven from P&amp;L and Balance Sheet</t>
        </is>
      </c>
    </row>
    <row r="4">
      <c r="A4" s="9" t="inlineStr"/>
      <c r="B4" s="9" t="inlineStr">
        <is>
          <t>Current Period</t>
        </is>
      </c>
      <c r="C4" s="9" t="inlineStr">
        <is>
          <t>Basis</t>
        </is>
      </c>
    </row>
    <row r="5">
      <c r="A5" s="3" t="inlineStr">
        <is>
          <t>Operating Activities</t>
        </is>
      </c>
    </row>
    <row r="6">
      <c r="A6" s="11" t="inlineStr">
        <is>
          <t>Net Profit</t>
        </is>
      </c>
      <c r="B6" s="12">
        <f>'P&amp;L'!C17</f>
        <v/>
      </c>
      <c r="C6" s="2" t="inlineStr">
        <is>
          <t>P&amp;L, current period</t>
        </is>
      </c>
    </row>
    <row r="7">
      <c r="A7" s="11" t="inlineStr">
        <is>
          <t>+ Depreciation &amp; Amortisation (non-cash addback)</t>
        </is>
      </c>
      <c r="B7" s="12">
        <f>SUMIF('Trial Balance Input'!$B$8:$B$27,"Depreciation &amp; Amortisation",'Trial Balance Input'!$D$8:$D$27)</f>
        <v/>
      </c>
      <c r="C7" s="2" t="inlineStr">
        <is>
          <t>Trial Balance, current period</t>
        </is>
      </c>
    </row>
    <row r="8">
      <c r="A8" s="11" t="inlineStr">
        <is>
          <t>− Increase in Other Current Assets</t>
        </is>
      </c>
      <c r="B8" s="12">
        <f>-('Balance Sheet'!C7-'Balance Sheet'!B7)</f>
        <v/>
      </c>
      <c r="C8" s="2" t="inlineStr">
        <is>
          <t>Balance Sheet movement, Other Current Assets</t>
        </is>
      </c>
    </row>
    <row r="9">
      <c r="A9" s="11" t="inlineStr">
        <is>
          <t>+ Increase in Current Liabilities</t>
        </is>
      </c>
      <c r="B9" s="12">
        <f>'Balance Sheet'!C13-'Balance Sheet'!B13</f>
        <v/>
      </c>
      <c r="C9" s="2" t="inlineStr">
        <is>
          <t>Balance Sheet movement, Current Liabilities</t>
        </is>
      </c>
    </row>
    <row r="10">
      <c r="A10" s="13" t="inlineStr">
        <is>
          <t>Net Cash from Operating Activities</t>
        </is>
      </c>
      <c r="B10" s="14">
        <f>SUM(B6:B9)</f>
        <v/>
      </c>
      <c r="C10" s="2" t="inlineStr"/>
    </row>
    <row r="12">
      <c r="A12" s="3" t="inlineStr">
        <is>
          <t>Investing Activities</t>
        </is>
      </c>
    </row>
    <row r="13">
      <c r="A13" s="11" t="inlineStr">
        <is>
          <t>− Purchase of Non-Current Assets (net capex)</t>
        </is>
      </c>
      <c r="B13" s="12">
        <f>-(('Balance Sheet'!C9-'Balance Sheet'!B9)+B7)</f>
        <v/>
      </c>
      <c r="C13" s="2" t="inlineStr">
        <is>
          <t>NCA closing − NCA opening + Depreciation addback (grosses the net BS movement back up to cash capex)</t>
        </is>
      </c>
    </row>
    <row r="14">
      <c r="A14" s="13" t="inlineStr">
        <is>
          <t>Net Cash from Investing Activities</t>
        </is>
      </c>
      <c r="B14" s="14">
        <f>B13</f>
        <v/>
      </c>
      <c r="C14" s="2" t="inlineStr"/>
    </row>
    <row r="16">
      <c r="A16" s="3" t="inlineStr">
        <is>
          <t>Financing Activities</t>
        </is>
      </c>
    </row>
    <row r="17">
      <c r="A17" s="11" t="inlineStr">
        <is>
          <t>+ Increase in Share Capital</t>
        </is>
      </c>
      <c r="B17" s="12">
        <f>'Balance Sheet'!C18-'Balance Sheet'!B18</f>
        <v/>
      </c>
      <c r="C17" s="2" t="inlineStr">
        <is>
          <t>Balance Sheet movement, Share Capital</t>
        </is>
      </c>
    </row>
    <row r="18">
      <c r="A18" s="11" t="inlineStr">
        <is>
          <t>− Drawings / Dividends Paid</t>
        </is>
      </c>
      <c r="B18" s="12">
        <f>-'Balance Sheet'!C19</f>
        <v/>
      </c>
      <c r="C18" s="2" t="inlineStr">
        <is>
          <t>Trial Balance, current period</t>
        </is>
      </c>
    </row>
    <row r="19">
      <c r="A19" s="11" t="inlineStr">
        <is>
          <t>+/− Movement in Non-Current Liabilities</t>
        </is>
      </c>
      <c r="B19" s="12">
        <f>'Balance Sheet'!C14-'Balance Sheet'!B14</f>
        <v/>
      </c>
      <c r="C19" s="2" t="inlineStr">
        <is>
          <t>Balance Sheet movement, Non-Current Liabilities (e.g. loan drawdown/repayment)</t>
        </is>
      </c>
    </row>
    <row r="20">
      <c r="A20" s="13" t="inlineStr">
        <is>
          <t>Net Cash from Financing Activities</t>
        </is>
      </c>
      <c r="B20" s="14">
        <f>SUM(B17:B19)</f>
        <v/>
      </c>
      <c r="C20" s="2" t="inlineStr"/>
    </row>
    <row r="22">
      <c r="A22" s="13" t="inlineStr">
        <is>
          <t>Net Increase/(Decrease) in Cash</t>
        </is>
      </c>
      <c r="B22" s="14">
        <f>B10+B14+B20</f>
        <v/>
      </c>
      <c r="C22" s="2" t="inlineStr"/>
    </row>
    <row r="23">
      <c r="A23" s="11" t="inlineStr">
        <is>
          <t>Opening Cash</t>
        </is>
      </c>
      <c r="B23" s="12">
        <f>'Balance Sheet'!B6</f>
        <v/>
      </c>
      <c r="C23" s="2" t="inlineStr">
        <is>
          <t>Balance Sheet, Cash, prior period</t>
        </is>
      </c>
    </row>
    <row r="24">
      <c r="A24" s="13" t="inlineStr">
        <is>
          <t>Closing Cash (computed)</t>
        </is>
      </c>
      <c r="B24" s="14">
        <f>B23+B22</f>
        <v/>
      </c>
      <c r="C24" s="2" t="inlineStr"/>
    </row>
    <row r="25">
      <c r="A25" s="11" t="inlineStr">
        <is>
          <t>Closing Cash (per Balance Sheet)</t>
        </is>
      </c>
      <c r="B25" s="12">
        <f>'Balance Sheet'!C6</f>
        <v/>
      </c>
      <c r="C25" s="2" t="inlineStr">
        <is>
          <t>Balance Sheet, Cash, current period</t>
        </is>
      </c>
    </row>
    <row r="27">
      <c r="A27" s="3" t="inlineStr">
        <is>
          <t>Tie-out check</t>
        </is>
      </c>
      <c r="B27" s="12">
        <f>B24-B25</f>
        <v/>
      </c>
    </row>
    <row r="28">
      <c r="A28" s="17">
        <f>IF(ABS(B27)&lt;1,"TIES — computed closing cash equals the Balance Sheet cash balance","EXCEPTION — does not tie, review the trial balance categorisation")</f>
        <v/>
      </c>
    </row>
  </sheetData>
  <mergeCells count="3">
    <mergeCell ref="A1:C1"/>
    <mergeCell ref="A28:C28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40" customWidth="1" min="4" max="4"/>
  </cols>
  <sheetData>
    <row r="1">
      <c r="A1" s="1" t="inlineStr">
        <is>
          <t>Dashboard KPIs</t>
        </is>
      </c>
    </row>
    <row r="2">
      <c r="A2" s="2" t="inlineStr">
        <is>
          <t>[Example Trading Co Pty Ltd] — same metrics the React client dashboard (product/dashboard/) presents</t>
        </is>
      </c>
    </row>
    <row r="4">
      <c r="A4" s="9" t="inlineStr">
        <is>
          <t>KPI</t>
        </is>
      </c>
      <c r="B4" s="9" t="inlineStr">
        <is>
          <t>Prior Period</t>
        </is>
      </c>
      <c r="C4" s="9" t="inlineStr">
        <is>
          <t>Current Period</t>
        </is>
      </c>
      <c r="D4" s="9" t="inlineStr">
        <is>
          <t>How it’s calculated</t>
        </is>
      </c>
    </row>
    <row r="5">
      <c r="A5" s="3" t="inlineStr">
        <is>
          <t>Revenue</t>
        </is>
      </c>
      <c r="B5" s="12">
        <f>'P&amp;L'!B5</f>
        <v/>
      </c>
      <c r="C5" s="12">
        <f>'P&amp;L'!C5</f>
        <v/>
      </c>
      <c r="D5" s="2" t="inlineStr">
        <is>
          <t>P&amp;L</t>
        </is>
      </c>
    </row>
    <row r="6">
      <c r="A6" s="3" t="inlineStr">
        <is>
          <t>Net Profit</t>
        </is>
      </c>
      <c r="B6" s="12">
        <f>'P&amp;L'!B17</f>
        <v/>
      </c>
      <c r="C6" s="12">
        <f>'P&amp;L'!C17</f>
        <v/>
      </c>
      <c r="D6" s="2" t="inlineStr">
        <is>
          <t>P&amp;L</t>
        </is>
      </c>
    </row>
    <row r="7">
      <c r="A7" s="3" t="inlineStr">
        <is>
          <t>Revenue Growth %</t>
        </is>
      </c>
      <c r="B7" s="18" t="inlineStr">
        <is>
          <t>n/a</t>
        </is>
      </c>
      <c r="C7" s="16">
        <f>IFERROR((C5-B5)/ABS(B5),"-")</f>
        <v/>
      </c>
      <c r="D7" s="2" t="inlineStr">
        <is>
          <t>This period vs prior</t>
        </is>
      </c>
    </row>
    <row r="8">
      <c r="A8" s="3" t="inlineStr">
        <is>
          <t>Gross Margin %</t>
        </is>
      </c>
      <c r="B8" s="16">
        <f>'P&amp;L'!B20</f>
        <v/>
      </c>
      <c r="C8" s="16">
        <f>'P&amp;L'!C20</f>
        <v/>
      </c>
      <c r="D8" s="2" t="inlineStr">
        <is>
          <t>P&amp;L</t>
        </is>
      </c>
    </row>
    <row r="9">
      <c r="A9" s="3" t="inlineStr">
        <is>
          <t>Net Margin %</t>
        </is>
      </c>
      <c r="B9" s="16">
        <f>'P&amp;L'!B21</f>
        <v/>
      </c>
      <c r="C9" s="16">
        <f>'P&amp;L'!C21</f>
        <v/>
      </c>
      <c r="D9" s="2" t="inlineStr">
        <is>
          <t>P&amp;L</t>
        </is>
      </c>
    </row>
    <row r="10">
      <c r="A10" s="3" t="inlineStr">
        <is>
          <t>Current Ratio</t>
        </is>
      </c>
      <c r="B10" s="19">
        <f>'Balance Sheet'!B8/'Balance Sheet'!B13</f>
        <v/>
      </c>
      <c r="C10" s="19">
        <f>'Balance Sheet'!C8/'Balance Sheet'!C13</f>
        <v/>
      </c>
      <c r="D10" s="2" t="inlineStr">
        <is>
          <t>Total Current Assets ÷ Current Liabilities</t>
        </is>
      </c>
    </row>
    <row r="11">
      <c r="A11" s="3" t="inlineStr">
        <is>
          <t>Cash Ratio</t>
        </is>
      </c>
      <c r="B11" s="19">
        <f>'Balance Sheet'!B6/'Balance Sheet'!B13</f>
        <v/>
      </c>
      <c r="C11" s="19">
        <f>'Balance Sheet'!C6/'Balance Sheet'!C13</f>
        <v/>
      </c>
      <c r="D11" s="2" t="inlineStr">
        <is>
          <t>Cash ÷ Current Liabilities</t>
        </is>
      </c>
    </row>
    <row r="12">
      <c r="A12" s="3" t="inlineStr">
        <is>
          <t>Debt-to-Equity</t>
        </is>
      </c>
      <c r="B12" s="19">
        <f>'Balance Sheet'!B15/'Balance Sheet'!B21</f>
        <v/>
      </c>
      <c r="C12" s="19">
        <f>'Balance Sheet'!C15/'Balance Sheet'!C21</f>
        <v/>
      </c>
      <c r="D12" s="2" t="inlineStr">
        <is>
          <t>Total Liabilities ÷ Total Equity</t>
        </is>
      </c>
    </row>
    <row r="13">
      <c r="A13" s="3" t="inlineStr">
        <is>
          <t>Net Cash Movement (current period)</t>
        </is>
      </c>
      <c r="B13" s="12" t="inlineStr"/>
      <c r="C13" s="12">
        <f>'Cash Flow'!B22</f>
        <v/>
      </c>
      <c r="D13" s="2" t="inlineStr">
        <is>
          <t>Cash Flow statement</t>
        </is>
      </c>
    </row>
    <row r="15" ht="30" customHeight="1">
      <c r="A15" s="20" t="inlineStr">
        <is>
          <t>These are the same figures to carry into product/dashboard/src/components/dashboard/*Card.tsx when building this client’s real dashboard — see docs/SERVICE-MODEL.md §5 for the tailoring checklist.</t>
        </is>
      </c>
    </row>
  </sheetData>
  <mergeCells count="3">
    <mergeCell ref="A1:D1"/>
    <mergeCell ref="A2:D2"/>
    <mergeCell ref="A15:D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2026-10-05T13:24:18Z</dcterms:created>
  <dcterms:modified xsi:type="dcterms:W3CDTF">2026-10-05T13:24:18Z</dcterms:modified>
</cp:coreProperties>
</file>