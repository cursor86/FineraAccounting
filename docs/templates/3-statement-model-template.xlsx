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Trial Balance Input" sheetId="2" state="visible" r:id="rId2"/>
    <sheet name="P&amp;L" sheetId="3" state="visible" r:id="rId3"/>
    <sheet name="Balance Sheet" sheetId="4" state="visible" r:id="rId4"/>
    <sheet name="Cash Flow" sheetId="5" state="visible" r:id="rId5"/>
    <sheet name="Dashboard" sheetId="6" state="visible" r:id="rId6"/>
    <sheet name="Monthly (optional)" sheetId="7" state="visible" r:id="rId7"/>
  </sheets>
  <definedNames/>
  <calcPr calcId="124519" fullCalcOnLoad="1"/>
</workbook>
</file>

<file path=xl/styles.xml><?xml version="1.0" encoding="utf-8"?>
<styleSheet xmlns="http://schemas.openxmlformats.org/spreadsheetml/2006/main">
  <numFmts count="3">
    <numFmt numFmtId="164" formatCode="$#,##0;($#,##0);&quot;-&quot;"/>
    <numFmt numFmtId="165" formatCode="0.0%"/>
    <numFmt numFmtId="166" formatCode="0.00&quot;x&quot;"/>
  </numFmts>
  <fonts count="16">
    <font>
      <name val="Calibri"/>
      <family val="2"/>
      <color theme="1"/>
      <sz val="11"/>
      <scheme val="minor"/>
    </font>
    <font>
      <name val="Arial"/>
      <b val="1"/>
      <color rgb="00144936"/>
      <sz val="16"/>
    </font>
    <font>
      <name val="Arial"/>
      <i val="1"/>
      <color rgb="0055604F"/>
      <sz val="9"/>
    </font>
    <font>
      <name val="Arial"/>
      <b val="1"/>
      <sz val="10"/>
    </font>
    <font>
      <name val="Arial"/>
      <sz val="10"/>
    </font>
    <font>
      <name val="Arial"/>
      <i val="1"/>
      <color rgb="0055604F"/>
      <sz val="10"/>
    </font>
    <font>
      <name val="Arial"/>
      <i val="1"/>
      <color rgb="00B9671F"/>
      <sz val="9.5"/>
    </font>
    <font>
      <name val="Arial"/>
      <color rgb="000000FF"/>
    </font>
    <font>
      <name val="Arial"/>
      <b val="1"/>
      <color rgb="00FFFFFF"/>
      <sz val="11"/>
    </font>
    <font>
      <name val="Arial"/>
      <color rgb="0055604F"/>
      <sz val="9"/>
    </font>
    <font>
      <name val="Arial"/>
      <b val="1"/>
      <sz val="10.5"/>
    </font>
    <font>
      <name val="Arial"/>
      <b val="1"/>
    </font>
    <font>
      <name val="Arial"/>
      <i val="1"/>
      <color rgb="0055604F"/>
      <sz val="9.5"/>
    </font>
    <font>
      <name val="Arial"/>
      <sz val="9"/>
    </font>
    <font>
      <name val="Arial"/>
      <color rgb="000000FF"/>
      <sz val="10"/>
    </font>
    <font>
      <name val="Arial"/>
      <i val="1"/>
      <color rgb="009C5700"/>
      <sz val="9"/>
    </font>
  </fonts>
  <fills count="3">
    <fill>
      <patternFill/>
    </fill>
    <fill>
      <patternFill patternType="gray125"/>
    </fill>
    <fill>
      <patternFill patternType="solid">
        <fgColor rgb="001F6F4F"/>
      </patternFill>
    </fill>
  </fills>
  <borders count="2">
    <border>
      <left/>
      <right/>
      <top/>
      <bottom/>
      <diagonal/>
    </border>
    <border>
      <bottom style="thin">
        <color rgb="00D0D0D0"/>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wrapText="1"/>
    </xf>
    <xf numFmtId="0" fontId="5" fillId="0" borderId="0" applyAlignment="1" pivotButton="0" quotePrefix="0" xfId="0">
      <alignment wrapText="1"/>
    </xf>
    <xf numFmtId="0" fontId="6" fillId="0" borderId="0" applyAlignment="1" pivotButton="0" quotePrefix="0" xfId="0">
      <alignment wrapText="1"/>
    </xf>
    <xf numFmtId="0" fontId="7" fillId="0" borderId="0" pivotButton="0" quotePrefix="0" xfId="0"/>
    <xf numFmtId="164" fontId="7" fillId="0" borderId="0" pivotButton="0" quotePrefix="0" xfId="0"/>
    <xf numFmtId="0" fontId="8" fillId="2" borderId="0" pivotButton="0" quotePrefix="0" xfId="0"/>
    <xf numFmtId="0" fontId="9" fillId="0" borderId="0" pivotButton="0" quotePrefix="0" xfId="0"/>
    <xf numFmtId="0" fontId="4" fillId="0" borderId="0" pivotButton="0" quotePrefix="0" xfId="0"/>
    <xf numFmtId="164" fontId="0" fillId="0" borderId="0" pivotButton="0" quotePrefix="0" xfId="0"/>
    <xf numFmtId="0" fontId="10" fillId="0" borderId="0" pivotButton="0" quotePrefix="0" xfId="0"/>
    <xf numFmtId="164" fontId="10" fillId="0" borderId="1" pivotButton="0" quotePrefix="0" xfId="0"/>
    <xf numFmtId="165" fontId="10" fillId="0" borderId="0" pivotButton="0" quotePrefix="0" xfId="0"/>
    <xf numFmtId="165" fontId="0" fillId="0" borderId="0" pivotButton="0" quotePrefix="0" xfId="0"/>
    <xf numFmtId="0" fontId="11" fillId="0" borderId="0" pivotButton="0" quotePrefix="0" xfId="0"/>
    <xf numFmtId="0" fontId="5" fillId="0" borderId="0" pivotButton="0" quotePrefix="0" xfId="0"/>
    <xf numFmtId="166" fontId="0" fillId="0" borderId="0" pivotButton="0" quotePrefix="0" xfId="0"/>
    <xf numFmtId="0" fontId="12" fillId="0" borderId="0" applyAlignment="1" pivotButton="0" quotePrefix="0" xfId="0">
      <alignment wrapText="1"/>
    </xf>
    <xf numFmtId="0" fontId="14" fillId="0" borderId="0" pivotButton="0" quotePrefix="0" xfId="0"/>
    <xf numFmtId="0" fontId="13" fillId="0" borderId="0" pivotButton="0" quotePrefix="0" xfId="0"/>
    <xf numFmtId="0" fontId="15" fillId="0" borderId="0" pivotButton="0" quotePrefix="0" xfId="0"/>
    <xf numFmtId="164" fontId="14" fillId="0" borderId="0" pivotButton="0" quotePrefix="0" xfId="0"/>
    <xf numFmtId="164" fontId="3" fillId="0" borderId="0" pivotButton="0" quotePrefix="0" xfId="0"/>
    <xf numFmtId="164"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showGridLines="0" workbookViewId="0">
      <selection activeCell="A1" sqref="A1"/>
    </sheetView>
  </sheetViews>
  <sheetFormatPr baseColWidth="8" defaultRowHeight="15"/>
  <cols>
    <col width="100" customWidth="1" min="1" max="1"/>
  </cols>
  <sheetData>
    <row r="1">
      <c r="A1" s="1" t="inlineStr">
        <is>
          <t>NewFinera — 3-Statement Model Template</t>
        </is>
      </c>
    </row>
    <row r="2">
      <c r="A2" s="2" t="inlineStr">
        <is>
          <t>Fill in once per client; P&amp;L, Balance Sheet, Cash Flow and Dashboard calculate automatically.</t>
        </is>
      </c>
    </row>
    <row r="3"/>
    <row r="4">
      <c r="A4" s="3" t="inlineStr">
        <is>
          <t>1. Client Finance Officer brief</t>
        </is>
      </c>
    </row>
    <row r="5" ht="30" customHeight="1">
      <c r="A5" s="4" t="inlineStr">
        <is>
          <t>Run docs/templates/client-finance-officer-brief.md first — this model assumes that intake is done.</t>
        </is>
      </c>
    </row>
    <row r="6"/>
    <row r="7">
      <c r="A7" s="3" t="inlineStr">
        <is>
          <t>2. Fill the Trial Balance Input tab</t>
        </is>
      </c>
    </row>
    <row r="8" ht="30" customHeight="1">
      <c r="A8" s="4" t="inlineStr">
        <is>
          <t>Enter the client's name, reporting period, entity type and GST basis (dropdowns in row 6), and every trial balance line (up to 200 accounts, rows 8–207) with its Category from the dropdown and Prior/Current period closing balances. Column E flags any row whose category is missing or misspelled — those rows are left out of every statement until fixed. Blue cells are the only ones to edit.</t>
        </is>
      </c>
    </row>
    <row r="9"/>
    <row r="10">
      <c r="A10" s="3" t="inlineStr">
        <is>
          <t>3. Check the tie-outs</t>
        </is>
      </c>
    </row>
    <row r="11" ht="30" customHeight="1">
      <c r="A11" s="4" t="inlineStr">
        <is>
          <t>Balance Sheet tab: Total Assets must equal Total Liabilities + Equity (both periods). Cash Flow tab: the computed closing cash must equal the Balance Sheet’s actual Cash balance. Both are automatic checks — if either shows an exception, the trial balance categorisation needs review before delivery.</t>
        </is>
      </c>
    </row>
    <row r="12"/>
    <row r="13">
      <c r="A13" s="3" t="inlineStr">
        <is>
          <t>4. Read off P&amp;L, Balance Sheet, Cash Flow</t>
        </is>
      </c>
    </row>
    <row r="14" ht="30" customHeight="1">
      <c r="A14" s="4" t="inlineStr">
        <is>
          <t>Each tab is fully formula-driven from the Input tab — nothing else to fill in.</t>
        </is>
      </c>
    </row>
    <row r="15"/>
    <row r="16">
      <c r="A16" s="3" t="inlineStr">
        <is>
          <t>5. Feed the Dashboard</t>
        </is>
      </c>
    </row>
    <row r="17" ht="30" customHeight="1">
      <c r="A17" s="4" t="inlineStr">
        <is>
          <t>The Dashboard tab mirrors the KPIs the React dashboard product (product/dashboard/) shows a client — use its figures when populating that dashboard’s *Card.tsx sample-data files with real numbers.</t>
        </is>
      </c>
    </row>
    <row r="18">
      <c r="A18" s="3" t="inlineStr">
        <is>
          <t>6. Optional: Monthly tab</t>
        </is>
      </c>
    </row>
    <row r="19">
      <c r="A19" s="4" t="inlineStr">
        <is>
          <t>Enter 12 months of revenue, net profit and month-end cash to draw the month-by-month charts on the client web dashboard. The tab checks its totals against the P&amp;L and its last cash figure against the Balance Sheet.</t>
        </is>
      </c>
    </row>
    <row r="20">
      <c r="A20" s="3" t="inlineStr">
        <is>
          <t>Method notes</t>
        </is>
      </c>
    </row>
    <row r="21" ht="70" customHeight="1">
      <c r="A21" s="5" t="inlineStr">
        <is>
          <t>Cash Flow uses the indirect method: Net Profit, plus the Depreciation &amp; Amortisation addback, plus/minus the period movement in each working-capital category. The Non-Current Assets movement in Investing is grossed up by the depreciation addback (NCA close − NCA open + Depreciation) so the statement ties to actual cash spent on capex, not just the net book-value change. Retained Earnings is derived, never a trial-balance input: Closing RE = Opening RE + Net Profit − Drawings/Dividends, rolled forward one period at a time from the single Opening Retained Earnings figure on the Input tab.</t>
        </is>
      </c>
    </row>
    <row r="22"/>
    <row r="23" ht="30" customHeight="1">
      <c r="A23" s="6" t="inlineStr">
        <is>
          <t>This model is prep-only, same as every other tool in this repo: it never lodges or files anything. Verify current AASB 1060 / GST / reporting-threshold treatment per docs/REPORTING-STANDARDS.md before relying on any figure for a real client filing.</t>
        </is>
      </c>
    </row>
  </sheetData>
  <mergeCells count="2">
    <mergeCell ref="A2"/>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7"/>
  <sheetViews>
    <sheetView showGridLines="0" workbookViewId="0">
      <selection activeCell="A1" sqref="A1"/>
    </sheetView>
  </sheetViews>
  <sheetFormatPr baseColWidth="8" defaultRowHeight="15"/>
  <cols>
    <col width="28" customWidth="1" min="1" max="1"/>
    <col width="24" customWidth="1" min="2" max="2"/>
    <col width="16" customWidth="1" min="3" max="3"/>
    <col width="16" customWidth="1" min="4" max="4"/>
    <col width="18" customWidth="1" min="5" max="5"/>
    <col width="30" customWidth="1" min="7" max="7"/>
  </cols>
  <sheetData>
    <row r="1">
      <c r="A1" s="1" t="inlineStr">
        <is>
          <t>Trial Balance Input</t>
        </is>
      </c>
    </row>
    <row r="2">
      <c r="A2" s="2" t="inlineStr">
        <is>
          <t>Blue cells only. One row per account. Category drives every downstream formula.</t>
        </is>
      </c>
    </row>
    <row r="3">
      <c r="A3" s="3" t="inlineStr">
        <is>
          <t>Rows needing a category</t>
        </is>
      </c>
      <c r="B3" s="3">
        <f>COUNTIF($E$8:$E$207,"CHECK CATEGORY")</f>
        <v>0</v>
      </c>
      <c r="C3" s="2" t="str">
        <f>IF(B3=0,"All rows categorised","Fix the rows marked CHECK CATEGORY in column E")</f>
        <v>All rows categorised</v>
      </c>
    </row>
    <row r="4">
      <c r="A4" s="3" t="inlineStr">
        <is>
          <t>Client Business Name</t>
        </is>
      </c>
      <c r="B4" s="7" t="inlineStr">
        <is>
          <t>[Example Trading Co Pty Ltd]</t>
        </is>
      </c>
      <c r="C4" s="3" t="inlineStr">
        <is>
          <t>Current Period</t>
        </is>
      </c>
      <c r="D4" s="7" t="inlineStr">
        <is>
          <t>FY2026 (1 Jul 2025 – 30 Jun 2026)</t>
        </is>
      </c>
    </row>
    <row r="5">
      <c r="A5" s="3" t="inlineStr">
        <is>
          <t>Retained Earnings — opening balance, start of PRIOR period</t>
        </is>
      </c>
      <c r="C5" s="8" t="n">
        <v>25000</v>
      </c>
      <c r="D5" s="2" t="inlineStr">
        <is>
          <t>single figure — not a repeating TB line</t>
        </is>
      </c>
    </row>
    <row r="6">
      <c r="A6" s="3" t="inlineStr">
        <is>
          <t>Entity type</t>
        </is>
      </c>
      <c r="B6" s="21" t="inlineStr">
        <is>
          <t>Company</t>
        </is>
      </c>
      <c r="C6" s="3" t="inlineStr">
        <is>
          <t>GST basis</t>
        </is>
      </c>
      <c r="D6" s="21" t="inlineStr">
        <is>
          <t>Accruals</t>
        </is>
      </c>
    </row>
    <row r="7">
      <c r="A7" s="9" t="inlineStr">
        <is>
          <t>Account Name</t>
        </is>
      </c>
      <c r="B7" s="9" t="inlineStr">
        <is>
          <t>Category</t>
        </is>
      </c>
      <c r="C7" s="9" t="inlineStr">
        <is>
          <t>Prior Period ($)</t>
        </is>
      </c>
      <c r="D7" s="9" t="inlineStr">
        <is>
          <t>Current Period ($)</t>
        </is>
      </c>
      <c r="E7" s="9" t="inlineStr">
        <is>
          <t>Category check</t>
        </is>
      </c>
      <c r="G7" s="9" t="inlineStr">
        <is>
          <t>Valid categories (exact spelling)</t>
        </is>
      </c>
    </row>
    <row r="8">
      <c r="A8" t="inlineStr">
        <is>
          <t>Sales Revenue</t>
        </is>
      </c>
      <c r="B8" s="7" t="inlineStr">
        <is>
          <t>Revenue</t>
        </is>
      </c>
      <c r="C8" s="8" t="n">
        <v>380000</v>
      </c>
      <c r="D8" s="8" t="n">
        <v>450000</v>
      </c>
      <c r="E8" s="22" t="str">
        <f>IF(AND(A8&amp;""="",B8&amp;""="",N(C8)=0,N(D8)=0),"",IF(COUNTIF($G$8:$G$20,B8&amp;"")&gt;0,"OK","CHECK CATEGORY"))</f>
        <v>OK</v>
      </c>
      <c r="G8" s="10" t="inlineStr">
        <is>
          <t>Revenue</t>
        </is>
      </c>
    </row>
    <row r="9">
      <c r="A9" t="inlineStr">
        <is>
          <t>Cost of Goods Sold</t>
        </is>
      </c>
      <c r="B9" s="7" t="inlineStr">
        <is>
          <t>COGS</t>
        </is>
      </c>
      <c r="C9" s="8" t="n">
        <v>190000</v>
      </c>
      <c r="D9" s="8" t="n">
        <v>220000</v>
      </c>
      <c r="E9" s="22" t="str">
        <f>IF(AND(A9&amp;""="",B9&amp;""="",N(C9)=0,N(D9)=0),"",IF(COUNTIF($G$8:$G$20,B9&amp;"")&gt;0,"OK","CHECK CATEGORY"))</f>
        <v>OK</v>
      </c>
      <c r="G9" s="10" t="inlineStr">
        <is>
          <t>COGS</t>
        </is>
      </c>
    </row>
    <row r="10">
      <c r="A10" t="inlineStr">
        <is>
          <t>Rent</t>
        </is>
      </c>
      <c r="B10" s="7" t="inlineStr">
        <is>
          <t>Operating Expenses</t>
        </is>
      </c>
      <c r="C10" s="8" t="n">
        <v>24000</v>
      </c>
      <c r="D10" s="8" t="n">
        <v>24000</v>
      </c>
      <c r="E10" s="22" t="str">
        <f>IF(AND(A10&amp;""="",B10&amp;""="",N(C10)=0,N(D10)=0),"",IF(COUNTIF($G$8:$G$20,B10&amp;"")&gt;0,"OK","CHECK CATEGORY"))</f>
        <v>OK</v>
      </c>
      <c r="G10" s="10" t="inlineStr">
        <is>
          <t>Operating Expenses</t>
        </is>
      </c>
    </row>
    <row r="11">
      <c r="A11" t="inlineStr">
        <is>
          <t>Wages &amp; Salaries</t>
        </is>
      </c>
      <c r="B11" s="7" t="inlineStr">
        <is>
          <t>Operating Expenses</t>
        </is>
      </c>
      <c r="C11" s="8" t="n">
        <v>90000</v>
      </c>
      <c r="D11" s="8" t="n">
        <v>105000</v>
      </c>
      <c r="E11" s="22" t="str">
        <f>IF(AND(A11&amp;""="",B11&amp;""="",N(C11)=0,N(D11)=0),"",IF(COUNTIF($G$8:$G$20,B11&amp;"")&gt;0,"OK","CHECK CATEGORY"))</f>
        <v>OK</v>
      </c>
      <c r="G11" s="10" t="inlineStr">
        <is>
          <t>Depreciation &amp; Amortisation</t>
        </is>
      </c>
    </row>
    <row r="12">
      <c r="A12" t="inlineStr">
        <is>
          <t>Marketing &amp; Advertising</t>
        </is>
      </c>
      <c r="B12" s="7" t="inlineStr">
        <is>
          <t>Operating Expenses</t>
        </is>
      </c>
      <c r="C12" s="8" t="n">
        <v>15000</v>
      </c>
      <c r="D12" s="8" t="n">
        <v>20000</v>
      </c>
      <c r="E12" s="22" t="str">
        <f>IF(AND(A12&amp;""="",B12&amp;""="",N(C12)=0,N(D12)=0),"",IF(COUNTIF($G$8:$G$20,B12&amp;"")&gt;0,"OK","CHECK CATEGORY"))</f>
        <v>OK</v>
      </c>
      <c r="G12" s="10" t="inlineStr">
        <is>
          <t>Interest Expense</t>
        </is>
      </c>
    </row>
    <row r="13">
      <c r="A13" t="inlineStr">
        <is>
          <t>Utilities</t>
        </is>
      </c>
      <c r="B13" s="7" t="inlineStr">
        <is>
          <t>Operating Expenses</t>
        </is>
      </c>
      <c r="C13" s="8" t="n">
        <v>6000</v>
      </c>
      <c r="D13" s="8" t="n">
        <v>6500</v>
      </c>
      <c r="E13" s="22" t="str">
        <f>IF(AND(A13&amp;""="",B13&amp;""="",N(C13)=0,N(D13)=0),"",IF(COUNTIF($G$8:$G$20,B13&amp;"")&gt;0,"OK","CHECK CATEGORY"))</f>
        <v>OK</v>
      </c>
      <c r="G13" s="10" t="inlineStr">
        <is>
          <t>Tax Expense</t>
        </is>
      </c>
    </row>
    <row r="14">
      <c r="A14" t="inlineStr">
        <is>
          <t>Insurance</t>
        </is>
      </c>
      <c r="B14" s="7" t="inlineStr">
        <is>
          <t>Operating Expenses</t>
        </is>
      </c>
      <c r="C14" s="8" t="n">
        <v>4000</v>
      </c>
      <c r="D14" s="8" t="n">
        <v>4200</v>
      </c>
      <c r="E14" s="22" t="str">
        <f>IF(AND(A14&amp;""="",B14&amp;""="",N(C14)=0,N(D14)=0),"",IF(COUNTIF($G$8:$G$20,B14&amp;"")&gt;0,"OK","CHECK CATEGORY"))</f>
        <v>OK</v>
      </c>
      <c r="G14" s="10" t="inlineStr">
        <is>
          <t>Cash</t>
        </is>
      </c>
    </row>
    <row r="15">
      <c r="A15" t="inlineStr">
        <is>
          <t>Office Supplies</t>
        </is>
      </c>
      <c r="B15" s="7" t="inlineStr">
        <is>
          <t>Operating Expenses</t>
        </is>
      </c>
      <c r="C15" s="8" t="n">
        <v>3000</v>
      </c>
      <c r="D15" s="8" t="n">
        <v>3300</v>
      </c>
      <c r="E15" s="22" t="str">
        <f>IF(AND(A15&amp;""="",B15&amp;""="",N(C15)=0,N(D15)=0),"",IF(COUNTIF($G$8:$G$20,B15&amp;"")&gt;0,"OK","CHECK CATEGORY"))</f>
        <v>OK</v>
      </c>
      <c r="G15" s="10" t="inlineStr">
        <is>
          <t>Other Current Assets</t>
        </is>
      </c>
    </row>
    <row r="16">
      <c r="A16" t="inlineStr">
        <is>
          <t>Depreciation Expense</t>
        </is>
      </c>
      <c r="B16" s="7" t="inlineStr">
        <is>
          <t>Depreciation &amp; Amortisation</t>
        </is>
      </c>
      <c r="C16" s="8" t="n">
        <v>12000</v>
      </c>
      <c r="D16" s="8" t="n">
        <v>14000</v>
      </c>
      <c r="E16" s="22" t="str">
        <f>IF(AND(A16&amp;""="",B16&amp;""="",N(C16)=0,N(D16)=0),"",IF(COUNTIF($G$8:$G$20,B16&amp;"")&gt;0,"OK","CHECK CATEGORY"))</f>
        <v>OK</v>
      </c>
      <c r="G16" s="10" t="inlineStr">
        <is>
          <t>Non-Current Assets</t>
        </is>
      </c>
    </row>
    <row r="17">
      <c r="A17" t="inlineStr">
        <is>
          <t>Interest on Loan</t>
        </is>
      </c>
      <c r="B17" s="7" t="inlineStr">
        <is>
          <t>Interest Expense</t>
        </is>
      </c>
      <c r="C17" s="8" t="n">
        <v>5000</v>
      </c>
      <c r="D17" s="8" t="n">
        <v>4500</v>
      </c>
      <c r="E17" s="22" t="str">
        <f>IF(AND(A17&amp;""="",B17&amp;""="",N(C17)=0,N(D17)=0),"",IF(COUNTIF($G$8:$G$20,B17&amp;"")&gt;0,"OK","CHECK CATEGORY"))</f>
        <v>OK</v>
      </c>
      <c r="G17" s="10" t="inlineStr">
        <is>
          <t>Current Liabilities</t>
        </is>
      </c>
    </row>
    <row r="18">
      <c r="A18" t="inlineStr">
        <is>
          <t>Income Tax Expense</t>
        </is>
      </c>
      <c r="B18" s="7" t="inlineStr">
        <is>
          <t>Tax Expense</t>
        </is>
      </c>
      <c r="C18" s="8" t="n">
        <v>8000</v>
      </c>
      <c r="D18" s="8" t="n">
        <v>12000</v>
      </c>
      <c r="E18" s="22" t="str">
        <f>IF(AND(A18&amp;""="",B18&amp;""="",N(C18)=0,N(D18)=0),"",IF(COUNTIF($G$8:$G$20,B18&amp;"")&gt;0,"OK","CHECK CATEGORY"))</f>
        <v>OK</v>
      </c>
      <c r="G18" s="10" t="inlineStr">
        <is>
          <t>Non-Current Liabilities</t>
        </is>
      </c>
    </row>
    <row r="19">
      <c r="A19" t="inlineStr">
        <is>
          <t>Cash at Bank</t>
        </is>
      </c>
      <c r="B19" s="7" t="inlineStr">
        <is>
          <t>Cash</t>
        </is>
      </c>
      <c r="C19" s="8" t="n">
        <v>48000</v>
      </c>
      <c r="D19" s="8" t="n">
        <v>39000</v>
      </c>
      <c r="E19" s="22" t="str">
        <f>IF(AND(A19&amp;""="",B19&amp;""="",N(C19)=0,N(D19)=0),"",IF(COUNTIF($G$8:$G$20,B19&amp;"")&gt;0,"OK","CHECK CATEGORY"))</f>
        <v>OK</v>
      </c>
      <c r="G19" s="10" t="inlineStr">
        <is>
          <t>Share Capital</t>
        </is>
      </c>
    </row>
    <row r="20">
      <c r="A20" t="inlineStr">
        <is>
          <t>Trade Receivables</t>
        </is>
      </c>
      <c r="B20" s="7" t="inlineStr">
        <is>
          <t>Other Current Assets</t>
        </is>
      </c>
      <c r="C20" s="8" t="n">
        <v>28000</v>
      </c>
      <c r="D20" s="8" t="n">
        <v>34000</v>
      </c>
      <c r="E20" s="22" t="str">
        <f>IF(AND(A20&amp;""="",B20&amp;""="",N(C20)=0,N(D20)=0),"",IF(COUNTIF($G$8:$G$20,B20&amp;"")&gt;0,"OK","CHECK CATEGORY"))</f>
        <v>OK</v>
      </c>
      <c r="G20" s="10" t="inlineStr">
        <is>
          <t>Drawings/Dividends Paid</t>
        </is>
      </c>
    </row>
    <row r="21">
      <c r="A21" t="inlineStr">
        <is>
          <t>Inventory</t>
        </is>
      </c>
      <c r="B21" s="7" t="inlineStr">
        <is>
          <t>Other Current Assets</t>
        </is>
      </c>
      <c r="C21" s="8" t="n">
        <v>45000</v>
      </c>
      <c r="D21" s="8" t="n">
        <v>52000</v>
      </c>
      <c r="E21" s="22" t="str">
        <f>IF(AND(A21&amp;""="",B21&amp;""="",N(C21)=0,N(D21)=0),"",IF(COUNTIF($G$8:$G$20,B21&amp;"")&gt;0,"OK","CHECK CATEGORY"))</f>
        <v>OK</v>
      </c>
    </row>
    <row r="22">
      <c r="A22" t="inlineStr">
        <is>
          <t>Equipment &amp; Fixtures (net)</t>
        </is>
      </c>
      <c r="B22" s="7" t="inlineStr">
        <is>
          <t>Non-Current Assets</t>
        </is>
      </c>
      <c r="C22" s="8" t="n">
        <v>60000</v>
      </c>
      <c r="D22" s="8" t="n">
        <v>70000</v>
      </c>
      <c r="E22" s="22" t="str">
        <f>IF(AND(A22&amp;""="",B22&amp;""="",N(C22)=0,N(D22)=0),"",IF(COUNTIF($G$8:$G$20,B22&amp;"")&gt;0,"OK","CHECK CATEGORY"))</f>
        <v>OK</v>
      </c>
    </row>
    <row r="23">
      <c r="A23" t="inlineStr">
        <is>
          <t>Trade Payables</t>
        </is>
      </c>
      <c r="B23" s="7" t="inlineStr">
        <is>
          <t>Current Liabilities</t>
        </is>
      </c>
      <c r="C23" s="8" t="n">
        <v>22000</v>
      </c>
      <c r="D23" s="8" t="n">
        <v>26000</v>
      </c>
      <c r="E23" s="22" t="str">
        <f>IF(AND(A23&amp;""="",B23&amp;""="",N(C23)=0,N(D23)=0),"",IF(COUNTIF($G$8:$G$20,B23&amp;"")&gt;0,"OK","CHECK CATEGORY"))</f>
        <v>OK</v>
      </c>
    </row>
    <row r="24">
      <c r="A24" t="inlineStr">
        <is>
          <t>GST Payable</t>
        </is>
      </c>
      <c r="B24" s="7" t="inlineStr">
        <is>
          <t>Current Liabilities</t>
        </is>
      </c>
      <c r="C24" s="8" t="n">
        <v>6000</v>
      </c>
      <c r="D24" s="8" t="n">
        <v>7500</v>
      </c>
      <c r="E24" s="22" t="str">
        <f>IF(AND(A24&amp;""="",B24&amp;""="",N(C24)=0,N(D24)=0),"",IF(COUNTIF($G$8:$G$20,B24&amp;"")&gt;0,"OK","CHECK CATEGORY"))</f>
        <v>OK</v>
      </c>
    </row>
    <row r="25">
      <c r="A25" t="inlineStr">
        <is>
          <t>Bank Loan (long-term)</t>
        </is>
      </c>
      <c r="B25" s="7" t="inlineStr">
        <is>
          <t>Non-Current Liabilities</t>
        </is>
      </c>
      <c r="C25" s="8" t="n">
        <v>70000</v>
      </c>
      <c r="D25" s="8" t="n">
        <v>60000</v>
      </c>
      <c r="E25" s="22" t="str">
        <f>IF(AND(A25&amp;""="",B25&amp;""="",N(C25)=0,N(D25)=0),"",IF(COUNTIF($G$8:$G$20,B25&amp;"")&gt;0,"OK","CHECK CATEGORY"))</f>
        <v>OK</v>
      </c>
    </row>
    <row r="26">
      <c r="A26" t="inlineStr">
        <is>
          <t>Share Capital (paid-up)</t>
        </is>
      </c>
      <c r="B26" s="7" t="inlineStr">
        <is>
          <t>Share Capital</t>
        </is>
      </c>
      <c r="C26" s="8" t="n">
        <v>50000</v>
      </c>
      <c r="D26" s="8" t="n">
        <v>50000</v>
      </c>
      <c r="E26" s="22" t="str">
        <f>IF(AND(A26&amp;""="",B26&amp;""="",N(C26)=0,N(D26)=0),"",IF(COUNTIF($G$8:$G$20,B26&amp;"")&gt;0,"OK","CHECK CATEGORY"))</f>
        <v>OK</v>
      </c>
    </row>
    <row r="27">
      <c r="A27" t="inlineStr">
        <is>
          <t>Dividends Paid</t>
        </is>
      </c>
      <c r="B27" s="7" t="inlineStr">
        <is>
          <t>Drawings/Dividends Paid</t>
        </is>
      </c>
      <c r="C27" s="8" t="n">
        <v>15000</v>
      </c>
      <c r="D27" s="8" t="n">
        <v>18000</v>
      </c>
      <c r="E27" s="22" t="str">
        <f>IF(AND(A27&amp;""="",B27&amp;""="",N(C27)=0,N(D27)=0),"",IF(COUNTIF($G$8:$G$20,B27&amp;"")&gt;0,"OK","CHECK CATEGORY"))</f>
        <v>OK</v>
      </c>
    </row>
    <row r="28">
      <c r="B28" s="7" t="n"/>
      <c r="C28" s="8" t="n"/>
      <c r="D28" s="8" t="n"/>
      <c r="E28" s="22" t="str">
        <f>IF(AND(A28&amp;""="",B28&amp;""="",N(C28)=0,N(D28)=0),"",IF(COUNTIF($G$8:$G$20,B28&amp;"")&gt;0,"OK","CHECK CATEGORY"))</f>
        <v/>
      </c>
    </row>
    <row r="29">
      <c r="B29" s="7" t="n"/>
      <c r="C29" s="8" t="n"/>
      <c r="D29" s="8" t="n"/>
      <c r="E29" s="22" t="str">
        <f>IF(AND(A29&amp;""="",B29&amp;""="",N(C29)=0,N(D29)=0),"",IF(COUNTIF($G$8:$G$20,B29&amp;"")&gt;0,"OK","CHECK CATEGORY"))</f>
        <v/>
      </c>
    </row>
    <row r="30">
      <c r="B30" s="7" t="n"/>
      <c r="C30" s="8" t="n"/>
      <c r="D30" s="8" t="n"/>
      <c r="E30" s="22" t="str">
        <f>IF(AND(A30&amp;""="",B30&amp;""="",N(C30)=0,N(D30)=0),"",IF(COUNTIF($G$8:$G$20,B30&amp;"")&gt;0,"OK","CHECK CATEGORY"))</f>
        <v/>
      </c>
    </row>
    <row r="31">
      <c r="B31" s="7" t="n"/>
      <c r="C31" s="8" t="n"/>
      <c r="D31" s="8" t="n"/>
      <c r="E31" s="22" t="str">
        <f>IF(AND(A31&amp;""="",B31&amp;""="",N(C31)=0,N(D31)=0),"",IF(COUNTIF($G$8:$G$20,B31&amp;"")&gt;0,"OK","CHECK CATEGORY"))</f>
        <v/>
      </c>
    </row>
    <row r="32">
      <c r="B32" s="7" t="n"/>
      <c r="C32" s="8" t="n"/>
      <c r="D32" s="8" t="n"/>
      <c r="E32" s="22" t="str">
        <f>IF(AND(A32&amp;""="",B32&amp;""="",N(C32)=0,N(D32)=0),"",IF(COUNTIF($G$8:$G$20,B32&amp;"")&gt;0,"OK","CHECK CATEGORY"))</f>
        <v/>
      </c>
    </row>
    <row r="33">
      <c r="B33" s="7" t="n"/>
      <c r="C33" s="8" t="n"/>
      <c r="D33" s="8" t="n"/>
      <c r="E33" s="22" t="str">
        <f>IF(AND(A33&amp;""="",B33&amp;""="",N(C33)=0,N(D33)=0),"",IF(COUNTIF($G$8:$G$20,B33&amp;"")&gt;0,"OK","CHECK CATEGORY"))</f>
        <v/>
      </c>
    </row>
    <row r="34">
      <c r="B34" s="7" t="n"/>
      <c r="C34" s="8" t="n"/>
      <c r="D34" s="8" t="n"/>
      <c r="E34" s="22" t="str">
        <f>IF(AND(A34&amp;""="",B34&amp;""="",N(C34)=0,N(D34)=0),"",IF(COUNTIF($G$8:$G$20,B34&amp;"")&gt;0,"OK","CHECK CATEGORY"))</f>
        <v/>
      </c>
    </row>
    <row r="35">
      <c r="B35" s="7" t="n"/>
      <c r="C35" s="8" t="n"/>
      <c r="D35" s="8" t="n"/>
      <c r="E35" s="22" t="str">
        <f>IF(AND(A35&amp;""="",B35&amp;""="",N(C35)=0,N(D35)=0),"",IF(COUNTIF($G$8:$G$20,B35&amp;"")&gt;0,"OK","CHECK CATEGORY"))</f>
        <v/>
      </c>
    </row>
    <row r="36">
      <c r="B36" s="7" t="n"/>
      <c r="C36" s="8" t="n"/>
      <c r="D36" s="8" t="n"/>
      <c r="E36" s="22" t="str">
        <f>IF(AND(A36&amp;""="",B36&amp;""="",N(C36)=0,N(D36)=0),"",IF(COUNTIF($G$8:$G$20,B36&amp;"")&gt;0,"OK","CHECK CATEGORY"))</f>
        <v/>
      </c>
    </row>
    <row r="37">
      <c r="B37" s="7" t="n"/>
      <c r="C37" s="8" t="n"/>
      <c r="D37" s="8" t="n"/>
      <c r="E37" s="22" t="str">
        <f>IF(AND(A37&amp;""="",B37&amp;""="",N(C37)=0,N(D37)=0),"",IF(COUNTIF($G$8:$G$20,B37&amp;"")&gt;0,"OK","CHECK CATEGORY"))</f>
        <v/>
      </c>
    </row>
    <row r="38">
      <c r="B38" s="7" t="n"/>
      <c r="C38" s="8" t="n"/>
      <c r="D38" s="8" t="n"/>
      <c r="E38" s="22" t="str">
        <f>IF(AND(A38&amp;""="",B38&amp;""="",N(C38)=0,N(D38)=0),"",IF(COUNTIF($G$8:$G$20,B38&amp;"")&gt;0,"OK","CHECK CATEGORY"))</f>
        <v/>
      </c>
    </row>
    <row r="39">
      <c r="B39" s="7" t="n"/>
      <c r="C39" s="8" t="n"/>
      <c r="D39" s="8" t="n"/>
      <c r="E39" s="22" t="str">
        <f>IF(AND(A39&amp;""="",B39&amp;""="",N(C39)=0,N(D39)=0),"",IF(COUNTIF($G$8:$G$20,B39&amp;"")&gt;0,"OK","CHECK CATEGORY"))</f>
        <v/>
      </c>
    </row>
    <row r="40">
      <c r="B40" s="7" t="n"/>
      <c r="C40" s="8" t="n"/>
      <c r="D40" s="8" t="n"/>
      <c r="E40" s="22" t="str">
        <f>IF(AND(A40&amp;""="",B40&amp;""="",N(C40)=0,N(D40)=0),"",IF(COUNTIF($G$8:$G$20,B40&amp;"")&gt;0,"OK","CHECK CATEGORY"))</f>
        <v/>
      </c>
    </row>
    <row r="41">
      <c r="B41" s="7" t="n"/>
      <c r="C41" s="8" t="n"/>
      <c r="D41" s="8" t="n"/>
      <c r="E41" s="22" t="str">
        <f>IF(AND(A41&amp;""="",B41&amp;""="",N(C41)=0,N(D41)=0),"",IF(COUNTIF($G$8:$G$20,B41&amp;"")&gt;0,"OK","CHECK CATEGORY"))</f>
        <v/>
      </c>
    </row>
    <row r="42">
      <c r="B42" s="7" t="n"/>
      <c r="C42" s="8" t="n"/>
      <c r="D42" s="8" t="n"/>
      <c r="E42" s="22" t="str">
        <f>IF(AND(A42&amp;""="",B42&amp;""="",N(C42)=0,N(D42)=0),"",IF(COUNTIF($G$8:$G$20,B42&amp;"")&gt;0,"OK","CHECK CATEGORY"))</f>
        <v/>
      </c>
    </row>
    <row r="43">
      <c r="B43" s="7" t="n"/>
      <c r="C43" s="8" t="n"/>
      <c r="D43" s="8" t="n"/>
      <c r="E43" s="22" t="str">
        <f>IF(AND(A43&amp;""="",B43&amp;""="",N(C43)=0,N(D43)=0),"",IF(COUNTIF($G$8:$G$20,B43&amp;"")&gt;0,"OK","CHECK CATEGORY"))</f>
        <v/>
      </c>
    </row>
    <row r="44">
      <c r="B44" s="7" t="n"/>
      <c r="C44" s="8" t="n"/>
      <c r="D44" s="8" t="n"/>
      <c r="E44" s="22" t="str">
        <f>IF(AND(A44&amp;""="",B44&amp;""="",N(C44)=0,N(D44)=0),"",IF(COUNTIF($G$8:$G$20,B44&amp;"")&gt;0,"OK","CHECK CATEGORY"))</f>
        <v/>
      </c>
    </row>
    <row r="45">
      <c r="B45" s="7" t="n"/>
      <c r="C45" s="8" t="n"/>
      <c r="D45" s="8" t="n"/>
      <c r="E45" s="22" t="str">
        <f>IF(AND(A45&amp;""="",B45&amp;""="",N(C45)=0,N(D45)=0),"",IF(COUNTIF($G$8:$G$20,B45&amp;"")&gt;0,"OK","CHECK CATEGORY"))</f>
        <v/>
      </c>
    </row>
    <row r="46">
      <c r="B46" s="7" t="n"/>
      <c r="C46" s="8" t="n"/>
      <c r="D46" s="8" t="n"/>
      <c r="E46" s="22" t="str">
        <f>IF(AND(A46&amp;""="",B46&amp;""="",N(C46)=0,N(D46)=0),"",IF(COUNTIF($G$8:$G$20,B46&amp;"")&gt;0,"OK","CHECK CATEGORY"))</f>
        <v/>
      </c>
    </row>
    <row r="47">
      <c r="B47" s="7" t="n"/>
      <c r="C47" s="8" t="n"/>
      <c r="D47" s="8" t="n"/>
      <c r="E47" s="22" t="str">
        <f>IF(AND(A47&amp;""="",B47&amp;""="",N(C47)=0,N(D47)=0),"",IF(COUNTIF($G$8:$G$20,B47&amp;"")&gt;0,"OK","CHECK CATEGORY"))</f>
        <v/>
      </c>
    </row>
    <row r="48">
      <c r="B48" s="7" t="n"/>
      <c r="C48" s="8" t="n"/>
      <c r="D48" s="8" t="n"/>
      <c r="E48" s="22" t="str">
        <f>IF(AND(A48&amp;""="",B48&amp;""="",N(C48)=0,N(D48)=0),"",IF(COUNTIF($G$8:$G$20,B48&amp;"")&gt;0,"OK","CHECK CATEGORY"))</f>
        <v/>
      </c>
    </row>
    <row r="49">
      <c r="B49" s="7" t="n"/>
      <c r="C49" s="8" t="n"/>
      <c r="D49" s="8" t="n"/>
      <c r="E49" s="22" t="str">
        <f>IF(AND(A49&amp;""="",B49&amp;""="",N(C49)=0,N(D49)=0),"",IF(COUNTIF($G$8:$G$20,B49&amp;"")&gt;0,"OK","CHECK CATEGORY"))</f>
        <v/>
      </c>
    </row>
    <row r="50">
      <c r="B50" s="7" t="n"/>
      <c r="C50" s="8" t="n"/>
      <c r="D50" s="8" t="n"/>
      <c r="E50" s="22" t="str">
        <f>IF(AND(A50&amp;""="",B50&amp;""="",N(C50)=0,N(D50)=0),"",IF(COUNTIF($G$8:$G$20,B50&amp;"")&gt;0,"OK","CHECK CATEGORY"))</f>
        <v/>
      </c>
    </row>
    <row r="51">
      <c r="B51" s="7" t="n"/>
      <c r="C51" s="8" t="n"/>
      <c r="D51" s="8" t="n"/>
      <c r="E51" s="22" t="str">
        <f>IF(AND(A51&amp;""="",B51&amp;""="",N(C51)=0,N(D51)=0),"",IF(COUNTIF($G$8:$G$20,B51&amp;"")&gt;0,"OK","CHECK CATEGORY"))</f>
        <v/>
      </c>
    </row>
    <row r="52">
      <c r="B52" s="7" t="n"/>
      <c r="C52" s="8" t="n"/>
      <c r="D52" s="8" t="n"/>
      <c r="E52" s="22" t="str">
        <f>IF(AND(A52&amp;""="",B52&amp;""="",N(C52)=0,N(D52)=0),"",IF(COUNTIF($G$8:$G$20,B52&amp;"")&gt;0,"OK","CHECK CATEGORY"))</f>
        <v/>
      </c>
    </row>
    <row r="53">
      <c r="B53" s="7" t="n"/>
      <c r="C53" s="8" t="n"/>
      <c r="D53" s="8" t="n"/>
      <c r="E53" s="22" t="str">
        <f>IF(AND(A53&amp;""="",B53&amp;""="",N(C53)=0,N(D53)=0),"",IF(COUNTIF($G$8:$G$20,B53&amp;"")&gt;0,"OK","CHECK CATEGORY"))</f>
        <v/>
      </c>
    </row>
    <row r="54">
      <c r="B54" s="7" t="n"/>
      <c r="C54" s="8" t="n"/>
      <c r="D54" s="8" t="n"/>
      <c r="E54" s="22" t="str">
        <f>IF(AND(A54&amp;""="",B54&amp;""="",N(C54)=0,N(D54)=0),"",IF(COUNTIF($G$8:$G$20,B54&amp;"")&gt;0,"OK","CHECK CATEGORY"))</f>
        <v/>
      </c>
    </row>
    <row r="55">
      <c r="B55" s="7" t="n"/>
      <c r="C55" s="8" t="n"/>
      <c r="D55" s="8" t="n"/>
      <c r="E55" s="22" t="str">
        <f>IF(AND(A55&amp;""="",B55&amp;""="",N(C55)=0,N(D55)=0),"",IF(COUNTIF($G$8:$G$20,B55&amp;"")&gt;0,"OK","CHECK CATEGORY"))</f>
        <v/>
      </c>
    </row>
    <row r="56">
      <c r="B56" s="7" t="n"/>
      <c r="C56" s="8" t="n"/>
      <c r="D56" s="8" t="n"/>
      <c r="E56" s="22" t="str">
        <f>IF(AND(A56&amp;""="",B56&amp;""="",N(C56)=0,N(D56)=0),"",IF(COUNTIF($G$8:$G$20,B56&amp;"")&gt;0,"OK","CHECK CATEGORY"))</f>
        <v/>
      </c>
    </row>
    <row r="57">
      <c r="B57" s="7" t="n"/>
      <c r="C57" s="8" t="n"/>
      <c r="D57" s="8" t="n"/>
      <c r="E57" s="22" t="str">
        <f>IF(AND(A57&amp;""="",B57&amp;""="",N(C57)=0,N(D57)=0),"",IF(COUNTIF($G$8:$G$20,B57&amp;"")&gt;0,"OK","CHECK CATEGORY"))</f>
        <v/>
      </c>
    </row>
    <row r="58">
      <c r="B58" s="7" t="n"/>
      <c r="C58" s="8" t="n"/>
      <c r="D58" s="8" t="n"/>
      <c r="E58" s="22" t="str">
        <f>IF(AND(A58&amp;""="",B58&amp;""="",N(C58)=0,N(D58)=0),"",IF(COUNTIF($G$8:$G$20,B58&amp;"")&gt;0,"OK","CHECK CATEGORY"))</f>
        <v/>
      </c>
    </row>
    <row r="59">
      <c r="B59" s="7" t="n"/>
      <c r="C59" s="8" t="n"/>
      <c r="D59" s="8" t="n"/>
      <c r="E59" s="22" t="str">
        <f>IF(AND(A59&amp;""="",B59&amp;""="",N(C59)=0,N(D59)=0),"",IF(COUNTIF($G$8:$G$20,B59&amp;"")&gt;0,"OK","CHECK CATEGORY"))</f>
        <v/>
      </c>
    </row>
    <row r="60">
      <c r="B60" s="7" t="n"/>
      <c r="C60" s="8" t="n"/>
      <c r="D60" s="8" t="n"/>
      <c r="E60" s="22" t="str">
        <f>IF(AND(A60&amp;""="",B60&amp;""="",N(C60)=0,N(D60)=0),"",IF(COUNTIF($G$8:$G$20,B60&amp;"")&gt;0,"OK","CHECK CATEGORY"))</f>
        <v/>
      </c>
    </row>
    <row r="61">
      <c r="B61" s="7" t="n"/>
      <c r="C61" s="8" t="n"/>
      <c r="D61" s="8" t="n"/>
      <c r="E61" s="22" t="str">
        <f>IF(AND(A61&amp;""="",B61&amp;""="",N(C61)=0,N(D61)=0),"",IF(COUNTIF($G$8:$G$20,B61&amp;"")&gt;0,"OK","CHECK CATEGORY"))</f>
        <v/>
      </c>
    </row>
    <row r="62">
      <c r="B62" s="7" t="n"/>
      <c r="C62" s="8" t="n"/>
      <c r="D62" s="8" t="n"/>
      <c r="E62" s="22" t="str">
        <f>IF(AND(A62&amp;""="",B62&amp;""="",N(C62)=0,N(D62)=0),"",IF(COUNTIF($G$8:$G$20,B62&amp;"")&gt;0,"OK","CHECK CATEGORY"))</f>
        <v/>
      </c>
    </row>
    <row r="63">
      <c r="B63" s="7" t="n"/>
      <c r="C63" s="8" t="n"/>
      <c r="D63" s="8" t="n"/>
      <c r="E63" s="22" t="str">
        <f>IF(AND(A63&amp;""="",B63&amp;""="",N(C63)=0,N(D63)=0),"",IF(COUNTIF($G$8:$G$20,B63&amp;"")&gt;0,"OK","CHECK CATEGORY"))</f>
        <v/>
      </c>
    </row>
    <row r="64">
      <c r="B64" s="7" t="n"/>
      <c r="C64" s="8" t="n"/>
      <c r="D64" s="8" t="n"/>
      <c r="E64" s="22" t="str">
        <f>IF(AND(A64&amp;""="",B64&amp;""="",N(C64)=0,N(D64)=0),"",IF(COUNTIF($G$8:$G$20,B64&amp;"")&gt;0,"OK","CHECK CATEGORY"))</f>
        <v/>
      </c>
    </row>
    <row r="65">
      <c r="B65" s="7" t="n"/>
      <c r="C65" s="8" t="n"/>
      <c r="D65" s="8" t="n"/>
      <c r="E65" s="22" t="str">
        <f>IF(AND(A65&amp;""="",B65&amp;""="",N(C65)=0,N(D65)=0),"",IF(COUNTIF($G$8:$G$20,B65&amp;"")&gt;0,"OK","CHECK CATEGORY"))</f>
        <v/>
      </c>
    </row>
    <row r="66">
      <c r="B66" s="7" t="n"/>
      <c r="C66" s="8" t="n"/>
      <c r="D66" s="8" t="n"/>
      <c r="E66" s="22" t="str">
        <f>IF(AND(A66&amp;""="",B66&amp;""="",N(C66)=0,N(D66)=0),"",IF(COUNTIF($G$8:$G$20,B66&amp;"")&gt;0,"OK","CHECK CATEGORY"))</f>
        <v/>
      </c>
    </row>
    <row r="67">
      <c r="B67" s="7" t="n"/>
      <c r="C67" s="8" t="n"/>
      <c r="D67" s="8" t="n"/>
      <c r="E67" s="22" t="str">
        <f>IF(AND(A67&amp;""="",B67&amp;""="",N(C67)=0,N(D67)=0),"",IF(COUNTIF($G$8:$G$20,B67&amp;"")&gt;0,"OK","CHECK CATEGORY"))</f>
        <v/>
      </c>
    </row>
    <row r="68">
      <c r="B68" s="7" t="n"/>
      <c r="C68" s="8" t="n"/>
      <c r="D68" s="8" t="n"/>
      <c r="E68" s="22" t="str">
        <f>IF(AND(A68&amp;""="",B68&amp;""="",N(C68)=0,N(D68)=0),"",IF(COUNTIF($G$8:$G$20,B68&amp;"")&gt;0,"OK","CHECK CATEGORY"))</f>
        <v/>
      </c>
    </row>
    <row r="69">
      <c r="B69" s="7" t="n"/>
      <c r="C69" s="8" t="n"/>
      <c r="D69" s="8" t="n"/>
      <c r="E69" s="22" t="str">
        <f>IF(AND(A69&amp;""="",B69&amp;""="",N(C69)=0,N(D69)=0),"",IF(COUNTIF($G$8:$G$20,B69&amp;"")&gt;0,"OK","CHECK CATEGORY"))</f>
        <v/>
      </c>
    </row>
    <row r="70">
      <c r="B70" s="7" t="n"/>
      <c r="C70" s="8" t="n"/>
      <c r="D70" s="8" t="n"/>
      <c r="E70" s="22" t="str">
        <f>IF(AND(A70&amp;""="",B70&amp;""="",N(C70)=0,N(D70)=0),"",IF(COUNTIF($G$8:$G$20,B70&amp;"")&gt;0,"OK","CHECK CATEGORY"))</f>
        <v/>
      </c>
    </row>
    <row r="71">
      <c r="B71" s="7" t="n"/>
      <c r="C71" s="8" t="n"/>
      <c r="D71" s="8" t="n"/>
      <c r="E71" s="22" t="str">
        <f>IF(AND(A71&amp;""="",B71&amp;""="",N(C71)=0,N(D71)=0),"",IF(COUNTIF($G$8:$G$20,B71&amp;"")&gt;0,"OK","CHECK CATEGORY"))</f>
        <v/>
      </c>
    </row>
    <row r="72">
      <c r="B72" s="7" t="n"/>
      <c r="C72" s="8" t="n"/>
      <c r="D72" s="8" t="n"/>
      <c r="E72" s="22" t="str">
        <f>IF(AND(A72&amp;""="",B72&amp;""="",N(C72)=0,N(D72)=0),"",IF(COUNTIF($G$8:$G$20,B72&amp;"")&gt;0,"OK","CHECK CATEGORY"))</f>
        <v/>
      </c>
    </row>
    <row r="73">
      <c r="B73" s="7" t="n"/>
      <c r="C73" s="8" t="n"/>
      <c r="D73" s="8" t="n"/>
      <c r="E73" s="22" t="str">
        <f>IF(AND(A73&amp;""="",B73&amp;""="",N(C73)=0,N(D73)=0),"",IF(COUNTIF($G$8:$G$20,B73&amp;"")&gt;0,"OK","CHECK CATEGORY"))</f>
        <v/>
      </c>
    </row>
    <row r="74">
      <c r="B74" s="7" t="n"/>
      <c r="C74" s="8" t="n"/>
      <c r="D74" s="8" t="n"/>
      <c r="E74" s="22" t="str">
        <f>IF(AND(A74&amp;""="",B74&amp;""="",N(C74)=0,N(D74)=0),"",IF(COUNTIF($G$8:$G$20,B74&amp;"")&gt;0,"OK","CHECK CATEGORY"))</f>
        <v/>
      </c>
    </row>
    <row r="75">
      <c r="B75" s="7" t="n"/>
      <c r="C75" s="8" t="n"/>
      <c r="D75" s="8" t="n"/>
      <c r="E75" s="22" t="str">
        <f>IF(AND(A75&amp;""="",B75&amp;""="",N(C75)=0,N(D75)=0),"",IF(COUNTIF($G$8:$G$20,B75&amp;"")&gt;0,"OK","CHECK CATEGORY"))</f>
        <v/>
      </c>
    </row>
    <row r="76">
      <c r="B76" s="7" t="n"/>
      <c r="C76" s="8" t="n"/>
      <c r="D76" s="8" t="n"/>
      <c r="E76" s="22" t="str">
        <f>IF(AND(A76&amp;""="",B76&amp;""="",N(C76)=0,N(D76)=0),"",IF(COUNTIF($G$8:$G$20,B76&amp;"")&gt;0,"OK","CHECK CATEGORY"))</f>
        <v/>
      </c>
    </row>
    <row r="77">
      <c r="B77" s="7" t="n"/>
      <c r="C77" s="8" t="n"/>
      <c r="D77" s="8" t="n"/>
      <c r="E77" s="22" t="str">
        <f>IF(AND(A77&amp;""="",B77&amp;""="",N(C77)=0,N(D77)=0),"",IF(COUNTIF($G$8:$G$20,B77&amp;"")&gt;0,"OK","CHECK CATEGORY"))</f>
        <v/>
      </c>
    </row>
    <row r="78">
      <c r="B78" s="7" t="n"/>
      <c r="C78" s="8" t="n"/>
      <c r="D78" s="8" t="n"/>
      <c r="E78" s="22" t="str">
        <f>IF(AND(A78&amp;""="",B78&amp;""="",N(C78)=0,N(D78)=0),"",IF(COUNTIF($G$8:$G$20,B78&amp;"")&gt;0,"OK","CHECK CATEGORY"))</f>
        <v/>
      </c>
    </row>
    <row r="79">
      <c r="B79" s="7" t="n"/>
      <c r="C79" s="8" t="n"/>
      <c r="D79" s="8" t="n"/>
      <c r="E79" s="22" t="str">
        <f>IF(AND(A79&amp;""="",B79&amp;""="",N(C79)=0,N(D79)=0),"",IF(COUNTIF($G$8:$G$20,B79&amp;"")&gt;0,"OK","CHECK CATEGORY"))</f>
        <v/>
      </c>
    </row>
    <row r="80">
      <c r="B80" s="7" t="n"/>
      <c r="C80" s="8" t="n"/>
      <c r="D80" s="8" t="n"/>
      <c r="E80" s="22" t="str">
        <f>IF(AND(A80&amp;""="",B80&amp;""="",N(C80)=0,N(D80)=0),"",IF(COUNTIF($G$8:$G$20,B80&amp;"")&gt;0,"OK","CHECK CATEGORY"))</f>
        <v/>
      </c>
    </row>
    <row r="81">
      <c r="B81" s="7" t="n"/>
      <c r="C81" s="8" t="n"/>
      <c r="D81" s="8" t="n"/>
      <c r="E81" s="22" t="str">
        <f>IF(AND(A81&amp;""="",B81&amp;""="",N(C81)=0,N(D81)=0),"",IF(COUNTIF($G$8:$G$20,B81&amp;"")&gt;0,"OK","CHECK CATEGORY"))</f>
        <v/>
      </c>
    </row>
    <row r="82">
      <c r="B82" s="7" t="n"/>
      <c r="C82" s="8" t="n"/>
      <c r="D82" s="8" t="n"/>
      <c r="E82" s="22" t="str">
        <f>IF(AND(A82&amp;""="",B82&amp;""="",N(C82)=0,N(D82)=0),"",IF(COUNTIF($G$8:$G$20,B82&amp;"")&gt;0,"OK","CHECK CATEGORY"))</f>
        <v/>
      </c>
    </row>
    <row r="83">
      <c r="B83" s="7" t="n"/>
      <c r="C83" s="8" t="n"/>
      <c r="D83" s="8" t="n"/>
      <c r="E83" s="22" t="str">
        <f>IF(AND(A83&amp;""="",B83&amp;""="",N(C83)=0,N(D83)=0),"",IF(COUNTIF($G$8:$G$20,B83&amp;"")&gt;0,"OK","CHECK CATEGORY"))</f>
        <v/>
      </c>
    </row>
    <row r="84">
      <c r="B84" s="7" t="n"/>
      <c r="C84" s="8" t="n"/>
      <c r="D84" s="8" t="n"/>
      <c r="E84" s="22" t="str">
        <f>IF(AND(A84&amp;""="",B84&amp;""="",N(C84)=0,N(D84)=0),"",IF(COUNTIF($G$8:$G$20,B84&amp;"")&gt;0,"OK","CHECK CATEGORY"))</f>
        <v/>
      </c>
    </row>
    <row r="85">
      <c r="B85" s="7" t="n"/>
      <c r="C85" s="8" t="n"/>
      <c r="D85" s="8" t="n"/>
      <c r="E85" s="22" t="str">
        <f>IF(AND(A85&amp;""="",B85&amp;""="",N(C85)=0,N(D85)=0),"",IF(COUNTIF($G$8:$G$20,B85&amp;"")&gt;0,"OK","CHECK CATEGORY"))</f>
        <v/>
      </c>
    </row>
    <row r="86">
      <c r="B86" s="7" t="n"/>
      <c r="C86" s="8" t="n"/>
      <c r="D86" s="8" t="n"/>
      <c r="E86" s="22" t="str">
        <f>IF(AND(A86&amp;""="",B86&amp;""="",N(C86)=0,N(D86)=0),"",IF(COUNTIF($G$8:$G$20,B86&amp;"")&gt;0,"OK","CHECK CATEGORY"))</f>
        <v/>
      </c>
    </row>
    <row r="87">
      <c r="B87" s="7" t="n"/>
      <c r="C87" s="8" t="n"/>
      <c r="D87" s="8" t="n"/>
      <c r="E87" s="22" t="str">
        <f>IF(AND(A87&amp;""="",B87&amp;""="",N(C87)=0,N(D87)=0),"",IF(COUNTIF($G$8:$G$20,B87&amp;"")&gt;0,"OK","CHECK CATEGORY"))</f>
        <v/>
      </c>
    </row>
    <row r="88">
      <c r="B88" s="7" t="n"/>
      <c r="C88" s="8" t="n"/>
      <c r="D88" s="8" t="n"/>
      <c r="E88" s="22" t="str">
        <f>IF(AND(A88&amp;""="",B88&amp;""="",N(C88)=0,N(D88)=0),"",IF(COUNTIF($G$8:$G$20,B88&amp;"")&gt;0,"OK","CHECK CATEGORY"))</f>
        <v/>
      </c>
    </row>
    <row r="89">
      <c r="B89" s="7" t="n"/>
      <c r="C89" s="8" t="n"/>
      <c r="D89" s="8" t="n"/>
      <c r="E89" s="22" t="str">
        <f>IF(AND(A89&amp;""="",B89&amp;""="",N(C89)=0,N(D89)=0),"",IF(COUNTIF($G$8:$G$20,B89&amp;"")&gt;0,"OK","CHECK CATEGORY"))</f>
        <v/>
      </c>
    </row>
    <row r="90">
      <c r="B90" s="7" t="n"/>
      <c r="C90" s="8" t="n"/>
      <c r="D90" s="8" t="n"/>
      <c r="E90" s="22" t="str">
        <f>IF(AND(A90&amp;""="",B90&amp;""="",N(C90)=0,N(D90)=0),"",IF(COUNTIF($G$8:$G$20,B90&amp;"")&gt;0,"OK","CHECK CATEGORY"))</f>
        <v/>
      </c>
    </row>
    <row r="91">
      <c r="B91" s="7" t="n"/>
      <c r="C91" s="8" t="n"/>
      <c r="D91" s="8" t="n"/>
      <c r="E91" s="22" t="str">
        <f>IF(AND(A91&amp;""="",B91&amp;""="",N(C91)=0,N(D91)=0),"",IF(COUNTIF($G$8:$G$20,B91&amp;"")&gt;0,"OK","CHECK CATEGORY"))</f>
        <v/>
      </c>
    </row>
    <row r="92">
      <c r="B92" s="7" t="n"/>
      <c r="C92" s="8" t="n"/>
      <c r="D92" s="8" t="n"/>
      <c r="E92" s="22" t="str">
        <f>IF(AND(A92&amp;""="",B92&amp;""="",N(C92)=0,N(D92)=0),"",IF(COUNTIF($G$8:$G$20,B92&amp;"")&gt;0,"OK","CHECK CATEGORY"))</f>
        <v/>
      </c>
    </row>
    <row r="93">
      <c r="B93" s="7" t="n"/>
      <c r="C93" s="8" t="n"/>
      <c r="D93" s="8" t="n"/>
      <c r="E93" s="22" t="str">
        <f>IF(AND(A93&amp;""="",B93&amp;""="",N(C93)=0,N(D93)=0),"",IF(COUNTIF($G$8:$G$20,B93&amp;"")&gt;0,"OK","CHECK CATEGORY"))</f>
        <v/>
      </c>
    </row>
    <row r="94">
      <c r="B94" s="7" t="n"/>
      <c r="C94" s="8" t="n"/>
      <c r="D94" s="8" t="n"/>
      <c r="E94" s="22" t="str">
        <f>IF(AND(A94&amp;""="",B94&amp;""="",N(C94)=0,N(D94)=0),"",IF(COUNTIF($G$8:$G$20,B94&amp;"")&gt;0,"OK","CHECK CATEGORY"))</f>
        <v/>
      </c>
    </row>
    <row r="95">
      <c r="B95" s="7" t="n"/>
      <c r="C95" s="8" t="n"/>
      <c r="D95" s="8" t="n"/>
      <c r="E95" s="22" t="str">
        <f>IF(AND(A95&amp;""="",B95&amp;""="",N(C95)=0,N(D95)=0),"",IF(COUNTIF($G$8:$G$20,B95&amp;"")&gt;0,"OK","CHECK CATEGORY"))</f>
        <v/>
      </c>
    </row>
    <row r="96">
      <c r="B96" s="7" t="n"/>
      <c r="C96" s="8" t="n"/>
      <c r="D96" s="8" t="n"/>
      <c r="E96" s="22" t="str">
        <f>IF(AND(A96&amp;""="",B96&amp;""="",N(C96)=0,N(D96)=0),"",IF(COUNTIF($G$8:$G$20,B96&amp;"")&gt;0,"OK","CHECK CATEGORY"))</f>
        <v/>
      </c>
    </row>
    <row r="97">
      <c r="B97" s="7" t="n"/>
      <c r="C97" s="8" t="n"/>
      <c r="D97" s="8" t="n"/>
      <c r="E97" s="22" t="str">
        <f>IF(AND(A97&amp;""="",B97&amp;""="",N(C97)=0,N(D97)=0),"",IF(COUNTIF($G$8:$G$20,B97&amp;"")&gt;0,"OK","CHECK CATEGORY"))</f>
        <v/>
      </c>
    </row>
    <row r="98">
      <c r="B98" s="7" t="n"/>
      <c r="C98" s="8" t="n"/>
      <c r="D98" s="8" t="n"/>
      <c r="E98" s="22" t="str">
        <f>IF(AND(A98&amp;""="",B98&amp;""="",N(C98)=0,N(D98)=0),"",IF(COUNTIF($G$8:$G$20,B98&amp;"")&gt;0,"OK","CHECK CATEGORY"))</f>
        <v/>
      </c>
    </row>
    <row r="99">
      <c r="B99" s="7" t="n"/>
      <c r="C99" s="8" t="n"/>
      <c r="D99" s="8" t="n"/>
      <c r="E99" s="22" t="str">
        <f>IF(AND(A99&amp;""="",B99&amp;""="",N(C99)=0,N(D99)=0),"",IF(COUNTIF($G$8:$G$20,B99&amp;"")&gt;0,"OK","CHECK CATEGORY"))</f>
        <v/>
      </c>
    </row>
    <row r="100">
      <c r="B100" s="7" t="n"/>
      <c r="C100" s="8" t="n"/>
      <c r="D100" s="8" t="n"/>
      <c r="E100" s="22" t="str">
        <f>IF(AND(A100&amp;""="",B100&amp;""="",N(C100)=0,N(D100)=0),"",IF(COUNTIF($G$8:$G$20,B100&amp;"")&gt;0,"OK","CHECK CATEGORY"))</f>
        <v/>
      </c>
    </row>
    <row r="101">
      <c r="B101" s="7" t="n"/>
      <c r="C101" s="8" t="n"/>
      <c r="D101" s="8" t="n"/>
      <c r="E101" s="22" t="str">
        <f>IF(AND(A101&amp;""="",B101&amp;""="",N(C101)=0,N(D101)=0),"",IF(COUNTIF($G$8:$G$20,B101&amp;"")&gt;0,"OK","CHECK CATEGORY"))</f>
        <v/>
      </c>
    </row>
    <row r="102">
      <c r="B102" s="7" t="n"/>
      <c r="C102" s="8" t="n"/>
      <c r="D102" s="8" t="n"/>
      <c r="E102" s="22" t="str">
        <f>IF(AND(A102&amp;""="",B102&amp;""="",N(C102)=0,N(D102)=0),"",IF(COUNTIF($G$8:$G$20,B102&amp;"")&gt;0,"OK","CHECK CATEGORY"))</f>
        <v/>
      </c>
    </row>
    <row r="103">
      <c r="B103" s="7" t="n"/>
      <c r="C103" s="8" t="n"/>
      <c r="D103" s="8" t="n"/>
      <c r="E103" s="22" t="str">
        <f>IF(AND(A103&amp;""="",B103&amp;""="",N(C103)=0,N(D103)=0),"",IF(COUNTIF($G$8:$G$20,B103&amp;"")&gt;0,"OK","CHECK CATEGORY"))</f>
        <v/>
      </c>
    </row>
    <row r="104">
      <c r="B104" s="7" t="n"/>
      <c r="C104" s="8" t="n"/>
      <c r="D104" s="8" t="n"/>
      <c r="E104" s="22" t="str">
        <f>IF(AND(A104&amp;""="",B104&amp;""="",N(C104)=0,N(D104)=0),"",IF(COUNTIF($G$8:$G$20,B104&amp;"")&gt;0,"OK","CHECK CATEGORY"))</f>
        <v/>
      </c>
    </row>
    <row r="105">
      <c r="B105" s="7" t="n"/>
      <c r="C105" s="8" t="n"/>
      <c r="D105" s="8" t="n"/>
      <c r="E105" s="22" t="str">
        <f>IF(AND(A105&amp;""="",B105&amp;""="",N(C105)=0,N(D105)=0),"",IF(COUNTIF($G$8:$G$20,B105&amp;"")&gt;0,"OK","CHECK CATEGORY"))</f>
        <v/>
      </c>
    </row>
    <row r="106">
      <c r="B106" s="7" t="n"/>
      <c r="C106" s="8" t="n"/>
      <c r="D106" s="8" t="n"/>
      <c r="E106" s="22" t="str">
        <f>IF(AND(A106&amp;""="",B106&amp;""="",N(C106)=0,N(D106)=0),"",IF(COUNTIF($G$8:$G$20,B106&amp;"")&gt;0,"OK","CHECK CATEGORY"))</f>
        <v/>
      </c>
    </row>
    <row r="107">
      <c r="B107" s="7" t="n"/>
      <c r="C107" s="8" t="n"/>
      <c r="D107" s="8" t="n"/>
      <c r="E107" s="22" t="str">
        <f>IF(AND(A107&amp;""="",B107&amp;""="",N(C107)=0,N(D107)=0),"",IF(COUNTIF($G$8:$G$20,B107&amp;"")&gt;0,"OK","CHECK CATEGORY"))</f>
        <v/>
      </c>
    </row>
    <row r="108">
      <c r="B108" s="7" t="n"/>
      <c r="C108" s="8" t="n"/>
      <c r="D108" s="8" t="n"/>
      <c r="E108" s="22" t="str">
        <f>IF(AND(A108&amp;""="",B108&amp;""="",N(C108)=0,N(D108)=0),"",IF(COUNTIF($G$8:$G$20,B108&amp;"")&gt;0,"OK","CHECK CATEGORY"))</f>
        <v/>
      </c>
    </row>
    <row r="109">
      <c r="B109" s="7" t="n"/>
      <c r="C109" s="8" t="n"/>
      <c r="D109" s="8" t="n"/>
      <c r="E109" s="22" t="str">
        <f>IF(AND(A109&amp;""="",B109&amp;""="",N(C109)=0,N(D109)=0),"",IF(COUNTIF($G$8:$G$20,B109&amp;"")&gt;0,"OK","CHECK CATEGORY"))</f>
        <v/>
      </c>
    </row>
    <row r="110">
      <c r="B110" s="7" t="n"/>
      <c r="C110" s="8" t="n"/>
      <c r="D110" s="8" t="n"/>
      <c r="E110" s="22" t="str">
        <f>IF(AND(A110&amp;""="",B110&amp;""="",N(C110)=0,N(D110)=0),"",IF(COUNTIF($G$8:$G$20,B110&amp;"")&gt;0,"OK","CHECK CATEGORY"))</f>
        <v/>
      </c>
    </row>
    <row r="111">
      <c r="B111" s="7" t="n"/>
      <c r="C111" s="8" t="n"/>
      <c r="D111" s="8" t="n"/>
      <c r="E111" s="22" t="str">
        <f>IF(AND(A111&amp;""="",B111&amp;""="",N(C111)=0,N(D111)=0),"",IF(COUNTIF($G$8:$G$20,B111&amp;"")&gt;0,"OK","CHECK CATEGORY"))</f>
        <v/>
      </c>
    </row>
    <row r="112">
      <c r="B112" s="7" t="n"/>
      <c r="C112" s="8" t="n"/>
      <c r="D112" s="8" t="n"/>
      <c r="E112" s="22" t="str">
        <f>IF(AND(A112&amp;""="",B112&amp;""="",N(C112)=0,N(D112)=0),"",IF(COUNTIF($G$8:$G$20,B112&amp;"")&gt;0,"OK","CHECK CATEGORY"))</f>
        <v/>
      </c>
    </row>
    <row r="113">
      <c r="B113" s="7" t="n"/>
      <c r="C113" s="8" t="n"/>
      <c r="D113" s="8" t="n"/>
      <c r="E113" s="22" t="str">
        <f>IF(AND(A113&amp;""="",B113&amp;""="",N(C113)=0,N(D113)=0),"",IF(COUNTIF($G$8:$G$20,B113&amp;"")&gt;0,"OK","CHECK CATEGORY"))</f>
        <v/>
      </c>
    </row>
    <row r="114">
      <c r="B114" s="7" t="n"/>
      <c r="C114" s="8" t="n"/>
      <c r="D114" s="8" t="n"/>
      <c r="E114" s="22" t="str">
        <f>IF(AND(A114&amp;""="",B114&amp;""="",N(C114)=0,N(D114)=0),"",IF(COUNTIF($G$8:$G$20,B114&amp;"")&gt;0,"OK","CHECK CATEGORY"))</f>
        <v/>
      </c>
    </row>
    <row r="115">
      <c r="B115" s="7" t="n"/>
      <c r="C115" s="8" t="n"/>
      <c r="D115" s="8" t="n"/>
      <c r="E115" s="22" t="str">
        <f>IF(AND(A115&amp;""="",B115&amp;""="",N(C115)=0,N(D115)=0),"",IF(COUNTIF($G$8:$G$20,B115&amp;"")&gt;0,"OK","CHECK CATEGORY"))</f>
        <v/>
      </c>
    </row>
    <row r="116">
      <c r="B116" s="7" t="n"/>
      <c r="C116" s="8" t="n"/>
      <c r="D116" s="8" t="n"/>
      <c r="E116" s="22" t="str">
        <f>IF(AND(A116&amp;""="",B116&amp;""="",N(C116)=0,N(D116)=0),"",IF(COUNTIF($G$8:$G$20,B116&amp;"")&gt;0,"OK","CHECK CATEGORY"))</f>
        <v/>
      </c>
    </row>
    <row r="117">
      <c r="B117" s="7" t="n"/>
      <c r="C117" s="8" t="n"/>
      <c r="D117" s="8" t="n"/>
      <c r="E117" s="22" t="str">
        <f>IF(AND(A117&amp;""="",B117&amp;""="",N(C117)=0,N(D117)=0),"",IF(COUNTIF($G$8:$G$20,B117&amp;"")&gt;0,"OK","CHECK CATEGORY"))</f>
        <v/>
      </c>
    </row>
    <row r="118">
      <c r="B118" s="7" t="n"/>
      <c r="C118" s="8" t="n"/>
      <c r="D118" s="8" t="n"/>
      <c r="E118" s="22" t="str">
        <f>IF(AND(A118&amp;""="",B118&amp;""="",N(C118)=0,N(D118)=0),"",IF(COUNTIF($G$8:$G$20,B118&amp;"")&gt;0,"OK","CHECK CATEGORY"))</f>
        <v/>
      </c>
    </row>
    <row r="119">
      <c r="B119" s="7" t="n"/>
      <c r="C119" s="8" t="n"/>
      <c r="D119" s="8" t="n"/>
      <c r="E119" s="22" t="str">
        <f>IF(AND(A119&amp;""="",B119&amp;""="",N(C119)=0,N(D119)=0),"",IF(COUNTIF($G$8:$G$20,B119&amp;"")&gt;0,"OK","CHECK CATEGORY"))</f>
        <v/>
      </c>
    </row>
    <row r="120">
      <c r="B120" s="7" t="n"/>
      <c r="C120" s="8" t="n"/>
      <c r="D120" s="8" t="n"/>
      <c r="E120" s="22" t="str">
        <f>IF(AND(A120&amp;""="",B120&amp;""="",N(C120)=0,N(D120)=0),"",IF(COUNTIF($G$8:$G$20,B120&amp;"")&gt;0,"OK","CHECK CATEGORY"))</f>
        <v/>
      </c>
    </row>
    <row r="121">
      <c r="B121" s="7" t="n"/>
      <c r="C121" s="8" t="n"/>
      <c r="D121" s="8" t="n"/>
      <c r="E121" s="22" t="str">
        <f>IF(AND(A121&amp;""="",B121&amp;""="",N(C121)=0,N(D121)=0),"",IF(COUNTIF($G$8:$G$20,B121&amp;"")&gt;0,"OK","CHECK CATEGORY"))</f>
        <v/>
      </c>
    </row>
    <row r="122">
      <c r="B122" s="7" t="n"/>
      <c r="C122" s="8" t="n"/>
      <c r="D122" s="8" t="n"/>
      <c r="E122" s="22" t="str">
        <f>IF(AND(A122&amp;""="",B122&amp;""="",N(C122)=0,N(D122)=0),"",IF(COUNTIF($G$8:$G$20,B122&amp;"")&gt;0,"OK","CHECK CATEGORY"))</f>
        <v/>
      </c>
    </row>
    <row r="123">
      <c r="B123" s="7" t="n"/>
      <c r="C123" s="8" t="n"/>
      <c r="D123" s="8" t="n"/>
      <c r="E123" s="22" t="str">
        <f>IF(AND(A123&amp;""="",B123&amp;""="",N(C123)=0,N(D123)=0),"",IF(COUNTIF($G$8:$G$20,B123&amp;"")&gt;0,"OK","CHECK CATEGORY"))</f>
        <v/>
      </c>
    </row>
    <row r="124">
      <c r="B124" s="7" t="n"/>
      <c r="C124" s="8" t="n"/>
      <c r="D124" s="8" t="n"/>
      <c r="E124" s="22" t="str">
        <f>IF(AND(A124&amp;""="",B124&amp;""="",N(C124)=0,N(D124)=0),"",IF(COUNTIF($G$8:$G$20,B124&amp;"")&gt;0,"OK","CHECK CATEGORY"))</f>
        <v/>
      </c>
    </row>
    <row r="125">
      <c r="B125" s="7" t="n"/>
      <c r="C125" s="8" t="n"/>
      <c r="D125" s="8" t="n"/>
      <c r="E125" s="22" t="str">
        <f>IF(AND(A125&amp;""="",B125&amp;""="",N(C125)=0,N(D125)=0),"",IF(COUNTIF($G$8:$G$20,B125&amp;"")&gt;0,"OK","CHECK CATEGORY"))</f>
        <v/>
      </c>
    </row>
    <row r="126">
      <c r="B126" s="7" t="n"/>
      <c r="C126" s="8" t="n"/>
      <c r="D126" s="8" t="n"/>
      <c r="E126" s="22" t="str">
        <f>IF(AND(A126&amp;""="",B126&amp;""="",N(C126)=0,N(D126)=0),"",IF(COUNTIF($G$8:$G$20,B126&amp;"")&gt;0,"OK","CHECK CATEGORY"))</f>
        <v/>
      </c>
    </row>
    <row r="127">
      <c r="B127" s="7" t="n"/>
      <c r="C127" s="8" t="n"/>
      <c r="D127" s="8" t="n"/>
      <c r="E127" s="22" t="str">
        <f>IF(AND(A127&amp;""="",B127&amp;""="",N(C127)=0,N(D127)=0),"",IF(COUNTIF($G$8:$G$20,B127&amp;"")&gt;0,"OK","CHECK CATEGORY"))</f>
        <v/>
      </c>
    </row>
    <row r="128">
      <c r="B128" s="7" t="n"/>
      <c r="C128" s="8" t="n"/>
      <c r="D128" s="8" t="n"/>
      <c r="E128" s="22" t="str">
        <f>IF(AND(A128&amp;""="",B128&amp;""="",N(C128)=0,N(D128)=0),"",IF(COUNTIF($G$8:$G$20,B128&amp;"")&gt;0,"OK","CHECK CATEGORY"))</f>
        <v/>
      </c>
    </row>
    <row r="129">
      <c r="B129" s="7" t="n"/>
      <c r="C129" s="8" t="n"/>
      <c r="D129" s="8" t="n"/>
      <c r="E129" s="22" t="str">
        <f>IF(AND(A129&amp;""="",B129&amp;""="",N(C129)=0,N(D129)=0),"",IF(COUNTIF($G$8:$G$20,B129&amp;"")&gt;0,"OK","CHECK CATEGORY"))</f>
        <v/>
      </c>
    </row>
    <row r="130">
      <c r="B130" s="7" t="n"/>
      <c r="C130" s="8" t="n"/>
      <c r="D130" s="8" t="n"/>
      <c r="E130" s="22" t="str">
        <f>IF(AND(A130&amp;""="",B130&amp;""="",N(C130)=0,N(D130)=0),"",IF(COUNTIF($G$8:$G$20,B130&amp;"")&gt;0,"OK","CHECK CATEGORY"))</f>
        <v/>
      </c>
    </row>
    <row r="131">
      <c r="B131" s="7" t="n"/>
      <c r="C131" s="8" t="n"/>
      <c r="D131" s="8" t="n"/>
      <c r="E131" s="22" t="str">
        <f>IF(AND(A131&amp;""="",B131&amp;""="",N(C131)=0,N(D131)=0),"",IF(COUNTIF($G$8:$G$20,B131&amp;"")&gt;0,"OK","CHECK CATEGORY"))</f>
        <v/>
      </c>
    </row>
    <row r="132">
      <c r="B132" s="7" t="n"/>
      <c r="C132" s="8" t="n"/>
      <c r="D132" s="8" t="n"/>
      <c r="E132" s="22" t="str">
        <f>IF(AND(A132&amp;""="",B132&amp;""="",N(C132)=0,N(D132)=0),"",IF(COUNTIF($G$8:$G$20,B132&amp;"")&gt;0,"OK","CHECK CATEGORY"))</f>
        <v/>
      </c>
    </row>
    <row r="133">
      <c r="B133" s="7" t="n"/>
      <c r="C133" s="8" t="n"/>
      <c r="D133" s="8" t="n"/>
      <c r="E133" s="22" t="str">
        <f>IF(AND(A133&amp;""="",B133&amp;""="",N(C133)=0,N(D133)=0),"",IF(COUNTIF($G$8:$G$20,B133&amp;"")&gt;0,"OK","CHECK CATEGORY"))</f>
        <v/>
      </c>
    </row>
    <row r="134">
      <c r="B134" s="7" t="n"/>
      <c r="C134" s="8" t="n"/>
      <c r="D134" s="8" t="n"/>
      <c r="E134" s="22" t="str">
        <f>IF(AND(A134&amp;""="",B134&amp;""="",N(C134)=0,N(D134)=0),"",IF(COUNTIF($G$8:$G$20,B134&amp;"")&gt;0,"OK","CHECK CATEGORY"))</f>
        <v/>
      </c>
    </row>
    <row r="135">
      <c r="B135" s="7" t="n"/>
      <c r="C135" s="8" t="n"/>
      <c r="D135" s="8" t="n"/>
      <c r="E135" s="22" t="str">
        <f>IF(AND(A135&amp;""="",B135&amp;""="",N(C135)=0,N(D135)=0),"",IF(COUNTIF($G$8:$G$20,B135&amp;"")&gt;0,"OK","CHECK CATEGORY"))</f>
        <v/>
      </c>
    </row>
    <row r="136">
      <c r="B136" s="7" t="n"/>
      <c r="C136" s="8" t="n"/>
      <c r="D136" s="8" t="n"/>
      <c r="E136" s="22" t="str">
        <f>IF(AND(A136&amp;""="",B136&amp;""="",N(C136)=0,N(D136)=0),"",IF(COUNTIF($G$8:$G$20,B136&amp;"")&gt;0,"OK","CHECK CATEGORY"))</f>
        <v/>
      </c>
    </row>
    <row r="137">
      <c r="B137" s="7" t="n"/>
      <c r="C137" s="8" t="n"/>
      <c r="D137" s="8" t="n"/>
      <c r="E137" s="22" t="str">
        <f>IF(AND(A137&amp;""="",B137&amp;""="",N(C137)=0,N(D137)=0),"",IF(COUNTIF($G$8:$G$20,B137&amp;"")&gt;0,"OK","CHECK CATEGORY"))</f>
        <v/>
      </c>
    </row>
    <row r="138">
      <c r="B138" s="7" t="n"/>
      <c r="C138" s="8" t="n"/>
      <c r="D138" s="8" t="n"/>
      <c r="E138" s="22" t="str">
        <f>IF(AND(A138&amp;""="",B138&amp;""="",N(C138)=0,N(D138)=0),"",IF(COUNTIF($G$8:$G$20,B138&amp;"")&gt;0,"OK","CHECK CATEGORY"))</f>
        <v/>
      </c>
    </row>
    <row r="139">
      <c r="B139" s="7" t="n"/>
      <c r="C139" s="8" t="n"/>
      <c r="D139" s="8" t="n"/>
      <c r="E139" s="22" t="str">
        <f>IF(AND(A139&amp;""="",B139&amp;""="",N(C139)=0,N(D139)=0),"",IF(COUNTIF($G$8:$G$20,B139&amp;"")&gt;0,"OK","CHECK CATEGORY"))</f>
        <v/>
      </c>
    </row>
    <row r="140">
      <c r="B140" s="7" t="n"/>
      <c r="C140" s="8" t="n"/>
      <c r="D140" s="8" t="n"/>
      <c r="E140" s="22" t="str">
        <f>IF(AND(A140&amp;""="",B140&amp;""="",N(C140)=0,N(D140)=0),"",IF(COUNTIF($G$8:$G$20,B140&amp;"")&gt;0,"OK","CHECK CATEGORY"))</f>
        <v/>
      </c>
    </row>
    <row r="141">
      <c r="B141" s="7" t="n"/>
      <c r="C141" s="8" t="n"/>
      <c r="D141" s="8" t="n"/>
      <c r="E141" s="22" t="str">
        <f>IF(AND(A141&amp;""="",B141&amp;""="",N(C141)=0,N(D141)=0),"",IF(COUNTIF($G$8:$G$20,B141&amp;"")&gt;0,"OK","CHECK CATEGORY"))</f>
        <v/>
      </c>
    </row>
    <row r="142">
      <c r="B142" s="7" t="n"/>
      <c r="C142" s="8" t="n"/>
      <c r="D142" s="8" t="n"/>
      <c r="E142" s="22" t="str">
        <f>IF(AND(A142&amp;""="",B142&amp;""="",N(C142)=0,N(D142)=0),"",IF(COUNTIF($G$8:$G$20,B142&amp;"")&gt;0,"OK","CHECK CATEGORY"))</f>
        <v/>
      </c>
    </row>
    <row r="143">
      <c r="B143" s="7" t="n"/>
      <c r="C143" s="8" t="n"/>
      <c r="D143" s="8" t="n"/>
      <c r="E143" s="22" t="str">
        <f>IF(AND(A143&amp;""="",B143&amp;""="",N(C143)=0,N(D143)=0),"",IF(COUNTIF($G$8:$G$20,B143&amp;"")&gt;0,"OK","CHECK CATEGORY"))</f>
        <v/>
      </c>
    </row>
    <row r="144">
      <c r="B144" s="7" t="n"/>
      <c r="C144" s="8" t="n"/>
      <c r="D144" s="8" t="n"/>
      <c r="E144" s="22" t="str">
        <f>IF(AND(A144&amp;""="",B144&amp;""="",N(C144)=0,N(D144)=0),"",IF(COUNTIF($G$8:$G$20,B144&amp;"")&gt;0,"OK","CHECK CATEGORY"))</f>
        <v/>
      </c>
    </row>
    <row r="145">
      <c r="B145" s="7" t="n"/>
      <c r="C145" s="8" t="n"/>
      <c r="D145" s="8" t="n"/>
      <c r="E145" s="22" t="str">
        <f>IF(AND(A145&amp;""="",B145&amp;""="",N(C145)=0,N(D145)=0),"",IF(COUNTIF($G$8:$G$20,B145&amp;"")&gt;0,"OK","CHECK CATEGORY"))</f>
        <v/>
      </c>
    </row>
    <row r="146">
      <c r="B146" s="7" t="n"/>
      <c r="C146" s="8" t="n"/>
      <c r="D146" s="8" t="n"/>
      <c r="E146" s="22" t="str">
        <f>IF(AND(A146&amp;""="",B146&amp;""="",N(C146)=0,N(D146)=0),"",IF(COUNTIF($G$8:$G$20,B146&amp;"")&gt;0,"OK","CHECK CATEGORY"))</f>
        <v/>
      </c>
    </row>
    <row r="147">
      <c r="B147" s="7" t="n"/>
      <c r="C147" s="8" t="n"/>
      <c r="D147" s="8" t="n"/>
      <c r="E147" s="22" t="str">
        <f>IF(AND(A147&amp;""="",B147&amp;""="",N(C147)=0,N(D147)=0),"",IF(COUNTIF($G$8:$G$20,B147&amp;"")&gt;0,"OK","CHECK CATEGORY"))</f>
        <v/>
      </c>
    </row>
    <row r="148">
      <c r="B148" s="7" t="n"/>
      <c r="C148" s="8" t="n"/>
      <c r="D148" s="8" t="n"/>
      <c r="E148" s="22" t="str">
        <f>IF(AND(A148&amp;""="",B148&amp;""="",N(C148)=0,N(D148)=0),"",IF(COUNTIF($G$8:$G$20,B148&amp;"")&gt;0,"OK","CHECK CATEGORY"))</f>
        <v/>
      </c>
    </row>
    <row r="149">
      <c r="B149" s="7" t="n"/>
      <c r="C149" s="8" t="n"/>
      <c r="D149" s="8" t="n"/>
      <c r="E149" s="22" t="str">
        <f>IF(AND(A149&amp;""="",B149&amp;""="",N(C149)=0,N(D149)=0),"",IF(COUNTIF($G$8:$G$20,B149&amp;"")&gt;0,"OK","CHECK CATEGORY"))</f>
        <v/>
      </c>
    </row>
    <row r="150">
      <c r="B150" s="7" t="n"/>
      <c r="C150" s="8" t="n"/>
      <c r="D150" s="8" t="n"/>
      <c r="E150" s="22" t="str">
        <f>IF(AND(A150&amp;""="",B150&amp;""="",N(C150)=0,N(D150)=0),"",IF(COUNTIF($G$8:$G$20,B150&amp;"")&gt;0,"OK","CHECK CATEGORY"))</f>
        <v/>
      </c>
    </row>
    <row r="151">
      <c r="B151" s="7" t="n"/>
      <c r="C151" s="8" t="n"/>
      <c r="D151" s="8" t="n"/>
      <c r="E151" s="22" t="str">
        <f>IF(AND(A151&amp;""="",B151&amp;""="",N(C151)=0,N(D151)=0),"",IF(COUNTIF($G$8:$G$20,B151&amp;"")&gt;0,"OK","CHECK CATEGORY"))</f>
        <v/>
      </c>
    </row>
    <row r="152">
      <c r="B152" s="7" t="n"/>
      <c r="C152" s="8" t="n"/>
      <c r="D152" s="8" t="n"/>
      <c r="E152" s="22" t="str">
        <f>IF(AND(A152&amp;""="",B152&amp;""="",N(C152)=0,N(D152)=0),"",IF(COUNTIF($G$8:$G$20,B152&amp;"")&gt;0,"OK","CHECK CATEGORY"))</f>
        <v/>
      </c>
    </row>
    <row r="153">
      <c r="B153" s="7" t="n"/>
      <c r="C153" s="8" t="n"/>
      <c r="D153" s="8" t="n"/>
      <c r="E153" s="22" t="str">
        <f>IF(AND(A153&amp;""="",B153&amp;""="",N(C153)=0,N(D153)=0),"",IF(COUNTIF($G$8:$G$20,B153&amp;"")&gt;0,"OK","CHECK CATEGORY"))</f>
        <v/>
      </c>
    </row>
    <row r="154">
      <c r="B154" s="7" t="n"/>
      <c r="C154" s="8" t="n"/>
      <c r="D154" s="8" t="n"/>
      <c r="E154" s="22" t="str">
        <f>IF(AND(A154&amp;""="",B154&amp;""="",N(C154)=0,N(D154)=0),"",IF(COUNTIF($G$8:$G$20,B154&amp;"")&gt;0,"OK","CHECK CATEGORY"))</f>
        <v/>
      </c>
    </row>
    <row r="155">
      <c r="B155" s="7" t="n"/>
      <c r="C155" s="8" t="n"/>
      <c r="D155" s="8" t="n"/>
      <c r="E155" s="22" t="str">
        <f>IF(AND(A155&amp;""="",B155&amp;""="",N(C155)=0,N(D155)=0),"",IF(COUNTIF($G$8:$G$20,B155&amp;"")&gt;0,"OK","CHECK CATEGORY"))</f>
        <v/>
      </c>
    </row>
    <row r="156">
      <c r="B156" s="7" t="n"/>
      <c r="C156" s="8" t="n"/>
      <c r="D156" s="8" t="n"/>
      <c r="E156" s="22" t="str">
        <f>IF(AND(A156&amp;""="",B156&amp;""="",N(C156)=0,N(D156)=0),"",IF(COUNTIF($G$8:$G$20,B156&amp;"")&gt;0,"OK","CHECK CATEGORY"))</f>
        <v/>
      </c>
    </row>
    <row r="157">
      <c r="B157" s="7" t="n"/>
      <c r="C157" s="8" t="n"/>
      <c r="D157" s="8" t="n"/>
      <c r="E157" s="22" t="str">
        <f>IF(AND(A157&amp;""="",B157&amp;""="",N(C157)=0,N(D157)=0),"",IF(COUNTIF($G$8:$G$20,B157&amp;"")&gt;0,"OK","CHECK CATEGORY"))</f>
        <v/>
      </c>
    </row>
    <row r="158">
      <c r="B158" s="7" t="n"/>
      <c r="C158" s="8" t="n"/>
      <c r="D158" s="8" t="n"/>
      <c r="E158" s="22" t="str">
        <f>IF(AND(A158&amp;""="",B158&amp;""="",N(C158)=0,N(D158)=0),"",IF(COUNTIF($G$8:$G$20,B158&amp;"")&gt;0,"OK","CHECK CATEGORY"))</f>
        <v/>
      </c>
    </row>
    <row r="159">
      <c r="B159" s="7" t="n"/>
      <c r="C159" s="8" t="n"/>
      <c r="D159" s="8" t="n"/>
      <c r="E159" s="22" t="str">
        <f>IF(AND(A159&amp;""="",B159&amp;""="",N(C159)=0,N(D159)=0),"",IF(COUNTIF($G$8:$G$20,B159&amp;"")&gt;0,"OK","CHECK CATEGORY"))</f>
        <v/>
      </c>
    </row>
    <row r="160">
      <c r="B160" s="7" t="n"/>
      <c r="C160" s="8" t="n"/>
      <c r="D160" s="8" t="n"/>
      <c r="E160" s="22" t="str">
        <f>IF(AND(A160&amp;""="",B160&amp;""="",N(C160)=0,N(D160)=0),"",IF(COUNTIF($G$8:$G$20,B160&amp;"")&gt;0,"OK","CHECK CATEGORY"))</f>
        <v/>
      </c>
    </row>
    <row r="161">
      <c r="B161" s="7" t="n"/>
      <c r="C161" s="8" t="n"/>
      <c r="D161" s="8" t="n"/>
      <c r="E161" s="22" t="str">
        <f>IF(AND(A161&amp;""="",B161&amp;""="",N(C161)=0,N(D161)=0),"",IF(COUNTIF($G$8:$G$20,B161&amp;"")&gt;0,"OK","CHECK CATEGORY"))</f>
        <v/>
      </c>
    </row>
    <row r="162">
      <c r="B162" s="7" t="n"/>
      <c r="C162" s="8" t="n"/>
      <c r="D162" s="8" t="n"/>
      <c r="E162" s="22" t="str">
        <f>IF(AND(A162&amp;""="",B162&amp;""="",N(C162)=0,N(D162)=0),"",IF(COUNTIF($G$8:$G$20,B162&amp;"")&gt;0,"OK","CHECK CATEGORY"))</f>
        <v/>
      </c>
    </row>
    <row r="163">
      <c r="B163" s="7" t="n"/>
      <c r="C163" s="8" t="n"/>
      <c r="D163" s="8" t="n"/>
      <c r="E163" s="22" t="str">
        <f>IF(AND(A163&amp;""="",B163&amp;""="",N(C163)=0,N(D163)=0),"",IF(COUNTIF($G$8:$G$20,B163&amp;"")&gt;0,"OK","CHECK CATEGORY"))</f>
        <v/>
      </c>
    </row>
    <row r="164">
      <c r="B164" s="7" t="n"/>
      <c r="C164" s="8" t="n"/>
      <c r="D164" s="8" t="n"/>
      <c r="E164" s="22" t="str">
        <f>IF(AND(A164&amp;""="",B164&amp;""="",N(C164)=0,N(D164)=0),"",IF(COUNTIF($G$8:$G$20,B164&amp;"")&gt;0,"OK","CHECK CATEGORY"))</f>
        <v/>
      </c>
    </row>
    <row r="165">
      <c r="B165" s="7" t="n"/>
      <c r="C165" s="8" t="n"/>
      <c r="D165" s="8" t="n"/>
      <c r="E165" s="22" t="str">
        <f>IF(AND(A165&amp;""="",B165&amp;""="",N(C165)=0,N(D165)=0),"",IF(COUNTIF($G$8:$G$20,B165&amp;"")&gt;0,"OK","CHECK CATEGORY"))</f>
        <v/>
      </c>
    </row>
    <row r="166">
      <c r="B166" s="7" t="n"/>
      <c r="C166" s="8" t="n"/>
      <c r="D166" s="8" t="n"/>
      <c r="E166" s="22" t="str">
        <f>IF(AND(A166&amp;""="",B166&amp;""="",N(C166)=0,N(D166)=0),"",IF(COUNTIF($G$8:$G$20,B166&amp;"")&gt;0,"OK","CHECK CATEGORY"))</f>
        <v/>
      </c>
    </row>
    <row r="167">
      <c r="B167" s="7" t="n"/>
      <c r="C167" s="8" t="n"/>
      <c r="D167" s="8" t="n"/>
      <c r="E167" s="22" t="str">
        <f>IF(AND(A167&amp;""="",B167&amp;""="",N(C167)=0,N(D167)=0),"",IF(COUNTIF($G$8:$G$20,B167&amp;"")&gt;0,"OK","CHECK CATEGORY"))</f>
        <v/>
      </c>
    </row>
    <row r="168">
      <c r="B168" s="7" t="n"/>
      <c r="C168" s="8" t="n"/>
      <c r="D168" s="8" t="n"/>
      <c r="E168" s="22" t="str">
        <f>IF(AND(A168&amp;""="",B168&amp;""="",N(C168)=0,N(D168)=0),"",IF(COUNTIF($G$8:$G$20,B168&amp;"")&gt;0,"OK","CHECK CATEGORY"))</f>
        <v/>
      </c>
    </row>
    <row r="169">
      <c r="B169" s="7" t="n"/>
      <c r="C169" s="8" t="n"/>
      <c r="D169" s="8" t="n"/>
      <c r="E169" s="22" t="str">
        <f>IF(AND(A169&amp;""="",B169&amp;""="",N(C169)=0,N(D169)=0),"",IF(COUNTIF($G$8:$G$20,B169&amp;"")&gt;0,"OK","CHECK CATEGORY"))</f>
        <v/>
      </c>
    </row>
    <row r="170">
      <c r="B170" s="7" t="n"/>
      <c r="C170" s="8" t="n"/>
      <c r="D170" s="8" t="n"/>
      <c r="E170" s="22" t="str">
        <f>IF(AND(A170&amp;""="",B170&amp;""="",N(C170)=0,N(D170)=0),"",IF(COUNTIF($G$8:$G$20,B170&amp;"")&gt;0,"OK","CHECK CATEGORY"))</f>
        <v/>
      </c>
    </row>
    <row r="171">
      <c r="B171" s="7" t="n"/>
      <c r="C171" s="8" t="n"/>
      <c r="D171" s="8" t="n"/>
      <c r="E171" s="22" t="str">
        <f>IF(AND(A171&amp;""="",B171&amp;""="",N(C171)=0,N(D171)=0),"",IF(COUNTIF($G$8:$G$20,B171&amp;"")&gt;0,"OK","CHECK CATEGORY"))</f>
        <v/>
      </c>
    </row>
    <row r="172">
      <c r="B172" s="7" t="n"/>
      <c r="C172" s="8" t="n"/>
      <c r="D172" s="8" t="n"/>
      <c r="E172" s="22" t="str">
        <f>IF(AND(A172&amp;""="",B172&amp;""="",N(C172)=0,N(D172)=0),"",IF(COUNTIF($G$8:$G$20,B172&amp;"")&gt;0,"OK","CHECK CATEGORY"))</f>
        <v/>
      </c>
    </row>
    <row r="173">
      <c r="B173" s="7" t="n"/>
      <c r="C173" s="8" t="n"/>
      <c r="D173" s="8" t="n"/>
      <c r="E173" s="22" t="str">
        <f>IF(AND(A173&amp;""="",B173&amp;""="",N(C173)=0,N(D173)=0),"",IF(COUNTIF($G$8:$G$20,B173&amp;"")&gt;0,"OK","CHECK CATEGORY"))</f>
        <v/>
      </c>
    </row>
    <row r="174">
      <c r="B174" s="7" t="n"/>
      <c r="C174" s="8" t="n"/>
      <c r="D174" s="8" t="n"/>
      <c r="E174" s="22" t="str">
        <f>IF(AND(A174&amp;""="",B174&amp;""="",N(C174)=0,N(D174)=0),"",IF(COUNTIF($G$8:$G$20,B174&amp;"")&gt;0,"OK","CHECK CATEGORY"))</f>
        <v/>
      </c>
    </row>
    <row r="175">
      <c r="B175" s="7" t="n"/>
      <c r="C175" s="8" t="n"/>
      <c r="D175" s="8" t="n"/>
      <c r="E175" s="22" t="str">
        <f>IF(AND(A175&amp;""="",B175&amp;""="",N(C175)=0,N(D175)=0),"",IF(COUNTIF($G$8:$G$20,B175&amp;"")&gt;0,"OK","CHECK CATEGORY"))</f>
        <v/>
      </c>
    </row>
    <row r="176">
      <c r="B176" s="7" t="n"/>
      <c r="C176" s="8" t="n"/>
      <c r="D176" s="8" t="n"/>
      <c r="E176" s="22" t="str">
        <f>IF(AND(A176&amp;""="",B176&amp;""="",N(C176)=0,N(D176)=0),"",IF(COUNTIF($G$8:$G$20,B176&amp;"")&gt;0,"OK","CHECK CATEGORY"))</f>
        <v/>
      </c>
    </row>
    <row r="177">
      <c r="B177" s="7" t="n"/>
      <c r="C177" s="8" t="n"/>
      <c r="D177" s="8" t="n"/>
      <c r="E177" s="22" t="str">
        <f>IF(AND(A177&amp;""="",B177&amp;""="",N(C177)=0,N(D177)=0),"",IF(COUNTIF($G$8:$G$20,B177&amp;"")&gt;0,"OK","CHECK CATEGORY"))</f>
        <v/>
      </c>
    </row>
    <row r="178">
      <c r="B178" s="7" t="n"/>
      <c r="C178" s="8" t="n"/>
      <c r="D178" s="8" t="n"/>
      <c r="E178" s="22" t="str">
        <f>IF(AND(A178&amp;""="",B178&amp;""="",N(C178)=0,N(D178)=0),"",IF(COUNTIF($G$8:$G$20,B178&amp;"")&gt;0,"OK","CHECK CATEGORY"))</f>
        <v/>
      </c>
    </row>
    <row r="179">
      <c r="B179" s="7" t="n"/>
      <c r="C179" s="8" t="n"/>
      <c r="D179" s="8" t="n"/>
      <c r="E179" s="22" t="str">
        <f>IF(AND(A179&amp;""="",B179&amp;""="",N(C179)=0,N(D179)=0),"",IF(COUNTIF($G$8:$G$20,B179&amp;"")&gt;0,"OK","CHECK CATEGORY"))</f>
        <v/>
      </c>
    </row>
    <row r="180">
      <c r="B180" s="7" t="n"/>
      <c r="C180" s="8" t="n"/>
      <c r="D180" s="8" t="n"/>
      <c r="E180" s="22" t="str">
        <f>IF(AND(A180&amp;""="",B180&amp;""="",N(C180)=0,N(D180)=0),"",IF(COUNTIF($G$8:$G$20,B180&amp;"")&gt;0,"OK","CHECK CATEGORY"))</f>
        <v/>
      </c>
    </row>
    <row r="181">
      <c r="B181" s="7" t="n"/>
      <c r="C181" s="8" t="n"/>
      <c r="D181" s="8" t="n"/>
      <c r="E181" s="22" t="str">
        <f>IF(AND(A181&amp;""="",B181&amp;""="",N(C181)=0,N(D181)=0),"",IF(COUNTIF($G$8:$G$20,B181&amp;"")&gt;0,"OK","CHECK CATEGORY"))</f>
        <v/>
      </c>
    </row>
    <row r="182">
      <c r="B182" s="7" t="n"/>
      <c r="C182" s="8" t="n"/>
      <c r="D182" s="8" t="n"/>
      <c r="E182" s="22" t="str">
        <f>IF(AND(A182&amp;""="",B182&amp;""="",N(C182)=0,N(D182)=0),"",IF(COUNTIF($G$8:$G$20,B182&amp;"")&gt;0,"OK","CHECK CATEGORY"))</f>
        <v/>
      </c>
    </row>
    <row r="183">
      <c r="B183" s="7" t="n"/>
      <c r="C183" s="8" t="n"/>
      <c r="D183" s="8" t="n"/>
      <c r="E183" s="22" t="str">
        <f>IF(AND(A183&amp;""="",B183&amp;""="",N(C183)=0,N(D183)=0),"",IF(COUNTIF($G$8:$G$20,B183&amp;"")&gt;0,"OK","CHECK CATEGORY"))</f>
        <v/>
      </c>
    </row>
    <row r="184">
      <c r="B184" s="7" t="n"/>
      <c r="C184" s="8" t="n"/>
      <c r="D184" s="8" t="n"/>
      <c r="E184" s="22" t="str">
        <f>IF(AND(A184&amp;""="",B184&amp;""="",N(C184)=0,N(D184)=0),"",IF(COUNTIF($G$8:$G$20,B184&amp;"")&gt;0,"OK","CHECK CATEGORY"))</f>
        <v/>
      </c>
    </row>
    <row r="185">
      <c r="B185" s="7" t="n"/>
      <c r="C185" s="8" t="n"/>
      <c r="D185" s="8" t="n"/>
      <c r="E185" s="22" t="str">
        <f>IF(AND(A185&amp;""="",B185&amp;""="",N(C185)=0,N(D185)=0),"",IF(COUNTIF($G$8:$G$20,B185&amp;"")&gt;0,"OK","CHECK CATEGORY"))</f>
        <v/>
      </c>
    </row>
    <row r="186">
      <c r="B186" s="7" t="n"/>
      <c r="C186" s="8" t="n"/>
      <c r="D186" s="8" t="n"/>
      <c r="E186" s="22" t="str">
        <f>IF(AND(A186&amp;""="",B186&amp;""="",N(C186)=0,N(D186)=0),"",IF(COUNTIF($G$8:$G$20,B186&amp;"")&gt;0,"OK","CHECK CATEGORY"))</f>
        <v/>
      </c>
    </row>
    <row r="187">
      <c r="B187" s="7" t="n"/>
      <c r="C187" s="8" t="n"/>
      <c r="D187" s="8" t="n"/>
      <c r="E187" s="22" t="str">
        <f>IF(AND(A187&amp;""="",B187&amp;""="",N(C187)=0,N(D187)=0),"",IF(COUNTIF($G$8:$G$20,B187&amp;"")&gt;0,"OK","CHECK CATEGORY"))</f>
        <v/>
      </c>
    </row>
    <row r="188">
      <c r="B188" s="7" t="n"/>
      <c r="C188" s="8" t="n"/>
      <c r="D188" s="8" t="n"/>
      <c r="E188" s="22" t="str">
        <f>IF(AND(A188&amp;""="",B188&amp;""="",N(C188)=0,N(D188)=0),"",IF(COUNTIF($G$8:$G$20,B188&amp;"")&gt;0,"OK","CHECK CATEGORY"))</f>
        <v/>
      </c>
    </row>
    <row r="189">
      <c r="B189" s="7" t="n"/>
      <c r="C189" s="8" t="n"/>
      <c r="D189" s="8" t="n"/>
      <c r="E189" s="22" t="str">
        <f>IF(AND(A189&amp;""="",B189&amp;""="",N(C189)=0,N(D189)=0),"",IF(COUNTIF($G$8:$G$20,B189&amp;"")&gt;0,"OK","CHECK CATEGORY"))</f>
        <v/>
      </c>
    </row>
    <row r="190">
      <c r="B190" s="7" t="n"/>
      <c r="C190" s="8" t="n"/>
      <c r="D190" s="8" t="n"/>
      <c r="E190" s="22" t="str">
        <f>IF(AND(A190&amp;""="",B190&amp;""="",N(C190)=0,N(D190)=0),"",IF(COUNTIF($G$8:$G$20,B190&amp;"")&gt;0,"OK","CHECK CATEGORY"))</f>
        <v/>
      </c>
    </row>
    <row r="191">
      <c r="B191" s="7" t="n"/>
      <c r="C191" s="8" t="n"/>
      <c r="D191" s="8" t="n"/>
      <c r="E191" s="22" t="str">
        <f>IF(AND(A191&amp;""="",B191&amp;""="",N(C191)=0,N(D191)=0),"",IF(COUNTIF($G$8:$G$20,B191&amp;"")&gt;0,"OK","CHECK CATEGORY"))</f>
        <v/>
      </c>
    </row>
    <row r="192">
      <c r="B192" s="7" t="n"/>
      <c r="C192" s="8" t="n"/>
      <c r="D192" s="8" t="n"/>
      <c r="E192" s="22" t="str">
        <f>IF(AND(A192&amp;""="",B192&amp;""="",N(C192)=0,N(D192)=0),"",IF(COUNTIF($G$8:$G$20,B192&amp;"")&gt;0,"OK","CHECK CATEGORY"))</f>
        <v/>
      </c>
    </row>
    <row r="193">
      <c r="B193" s="7" t="n"/>
      <c r="C193" s="8" t="n"/>
      <c r="D193" s="8" t="n"/>
      <c r="E193" s="22" t="str">
        <f>IF(AND(A193&amp;""="",B193&amp;""="",N(C193)=0,N(D193)=0),"",IF(COUNTIF($G$8:$G$20,B193&amp;"")&gt;0,"OK","CHECK CATEGORY"))</f>
        <v/>
      </c>
    </row>
    <row r="194">
      <c r="B194" s="7" t="n"/>
      <c r="C194" s="8" t="n"/>
      <c r="D194" s="8" t="n"/>
      <c r="E194" s="22" t="str">
        <f>IF(AND(A194&amp;""="",B194&amp;""="",N(C194)=0,N(D194)=0),"",IF(COUNTIF($G$8:$G$20,B194&amp;"")&gt;0,"OK","CHECK CATEGORY"))</f>
        <v/>
      </c>
    </row>
    <row r="195">
      <c r="B195" s="7" t="n"/>
      <c r="C195" s="8" t="n"/>
      <c r="D195" s="8" t="n"/>
      <c r="E195" s="22" t="str">
        <f>IF(AND(A195&amp;""="",B195&amp;""="",N(C195)=0,N(D195)=0),"",IF(COUNTIF($G$8:$G$20,B195&amp;"")&gt;0,"OK","CHECK CATEGORY"))</f>
        <v/>
      </c>
    </row>
    <row r="196">
      <c r="B196" s="7" t="n"/>
      <c r="C196" s="8" t="n"/>
      <c r="D196" s="8" t="n"/>
      <c r="E196" s="22" t="str">
        <f>IF(AND(A196&amp;""="",B196&amp;""="",N(C196)=0,N(D196)=0),"",IF(COUNTIF($G$8:$G$20,B196&amp;"")&gt;0,"OK","CHECK CATEGORY"))</f>
        <v/>
      </c>
    </row>
    <row r="197">
      <c r="B197" s="7" t="n"/>
      <c r="C197" s="8" t="n"/>
      <c r="D197" s="8" t="n"/>
      <c r="E197" s="22" t="str">
        <f>IF(AND(A197&amp;""="",B197&amp;""="",N(C197)=0,N(D197)=0),"",IF(COUNTIF($G$8:$G$20,B197&amp;"")&gt;0,"OK","CHECK CATEGORY"))</f>
        <v/>
      </c>
    </row>
    <row r="198">
      <c r="B198" s="7" t="n"/>
      <c r="C198" s="8" t="n"/>
      <c r="D198" s="8" t="n"/>
      <c r="E198" s="22" t="str">
        <f>IF(AND(A198&amp;""="",B198&amp;""="",N(C198)=0,N(D198)=0),"",IF(COUNTIF($G$8:$G$20,B198&amp;"")&gt;0,"OK","CHECK CATEGORY"))</f>
        <v/>
      </c>
    </row>
    <row r="199">
      <c r="B199" s="7" t="n"/>
      <c r="C199" s="8" t="n"/>
      <c r="D199" s="8" t="n"/>
      <c r="E199" s="22" t="str">
        <f>IF(AND(A199&amp;""="",B199&amp;""="",N(C199)=0,N(D199)=0),"",IF(COUNTIF($G$8:$G$20,B199&amp;"")&gt;0,"OK","CHECK CATEGORY"))</f>
        <v/>
      </c>
    </row>
    <row r="200">
      <c r="B200" s="7" t="n"/>
      <c r="C200" s="8" t="n"/>
      <c r="D200" s="8" t="n"/>
      <c r="E200" s="22" t="str">
        <f>IF(AND(A200&amp;""="",B200&amp;""="",N(C200)=0,N(D200)=0),"",IF(COUNTIF($G$8:$G$20,B200&amp;"")&gt;0,"OK","CHECK CATEGORY"))</f>
        <v/>
      </c>
    </row>
    <row r="201">
      <c r="B201" s="7" t="n"/>
      <c r="C201" s="8" t="n"/>
      <c r="D201" s="8" t="n"/>
      <c r="E201" s="22" t="str">
        <f>IF(AND(A201&amp;""="",B201&amp;""="",N(C201)=0,N(D201)=0),"",IF(COUNTIF($G$8:$G$20,B201&amp;"")&gt;0,"OK","CHECK CATEGORY"))</f>
        <v/>
      </c>
    </row>
    <row r="202">
      <c r="B202" s="7" t="n"/>
      <c r="C202" s="8" t="n"/>
      <c r="D202" s="8" t="n"/>
      <c r="E202" s="22" t="str">
        <f>IF(AND(A202&amp;""="",B202&amp;""="",N(C202)=0,N(D202)=0),"",IF(COUNTIF($G$8:$G$20,B202&amp;"")&gt;0,"OK","CHECK CATEGORY"))</f>
        <v/>
      </c>
    </row>
    <row r="203">
      <c r="B203" s="7" t="n"/>
      <c r="C203" s="8" t="n"/>
      <c r="D203" s="8" t="n"/>
      <c r="E203" s="22" t="str">
        <f>IF(AND(A203&amp;""="",B203&amp;""="",N(C203)=0,N(D203)=0),"",IF(COUNTIF($G$8:$G$20,B203&amp;"")&gt;0,"OK","CHECK CATEGORY"))</f>
        <v/>
      </c>
    </row>
    <row r="204">
      <c r="B204" s="7" t="n"/>
      <c r="C204" s="8" t="n"/>
      <c r="D204" s="8" t="n"/>
      <c r="E204" s="22" t="str">
        <f>IF(AND(A204&amp;""="",B204&amp;""="",N(C204)=0,N(D204)=0),"",IF(COUNTIF($G$8:$G$20,B204&amp;"")&gt;0,"OK","CHECK CATEGORY"))</f>
        <v/>
      </c>
    </row>
    <row r="205">
      <c r="B205" s="7" t="n"/>
      <c r="C205" s="8" t="n"/>
      <c r="D205" s="8" t="n"/>
      <c r="E205" s="22" t="str">
        <f>IF(AND(A205&amp;""="",B205&amp;""="",N(C205)=0,N(D205)=0),"",IF(COUNTIF($G$8:$G$20,B205&amp;"")&gt;0,"OK","CHECK CATEGORY"))</f>
        <v/>
      </c>
    </row>
    <row r="206">
      <c r="B206" s="7" t="n"/>
      <c r="C206" s="8" t="n"/>
      <c r="D206" s="8" t="n"/>
      <c r="E206" s="22" t="str">
        <f>IF(AND(A206&amp;""="",B206&amp;""="",N(C206)=0,N(D206)=0),"",IF(COUNTIF($G$8:$G$20,B206&amp;"")&gt;0,"OK","CHECK CATEGORY"))</f>
        <v/>
      </c>
    </row>
    <row r="207">
      <c r="B207" s="7" t="n"/>
      <c r="C207" s="8" t="n"/>
      <c r="D207" s="8" t="n"/>
      <c r="E207" s="22" t="str">
        <f>IF(AND(A207&amp;""="",B207&amp;""="",N(C207)=0,N(D207)=0),"",IF(COUNTIF($G$8:$G$20,B207&amp;"")&gt;0,"OK","CHECK CATEGORY"))</f>
        <v/>
      </c>
    </row>
  </sheetData>
  <mergeCells count="3">
    <mergeCell ref="A1:D1"/>
    <mergeCell ref="A2:D2"/>
    <mergeCell ref="A5:B5"/>
  </mergeCells>
  <dataValidations count="3">
    <dataValidation sqref="B8:B207" showDropDown="0" showInputMessage="0" showErrorMessage="1" allowBlank="1" errorTitle="Category not recognised" error="Pick a category from the list so the statements pick this account up." type="list">
      <formula1>=$G$8:$G$20</formula1>
    </dataValidation>
    <dataValidation sqref="B6" showDropDown="0" showInputMessage="0" showErrorMessage="0" allowBlank="0" type="list">
      <formula1>"Sole trader,Partnership,Company,Trust"</formula1>
    </dataValidation>
    <dataValidation sqref="D6" showDropDown="0" showInputMessage="0" showErrorMessage="0" allowBlank="0" type="list">
      <formula1>"Cash,Accruals,Not registered"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30" customWidth="1" min="1" max="1"/>
    <col width="16" customWidth="1" min="2" max="2"/>
    <col width="16" customWidth="1" min="3" max="3"/>
    <col width="12" customWidth="1" min="4" max="4"/>
  </cols>
  <sheetData>
    <row r="1">
      <c r="A1" s="1" t="inlineStr">
        <is>
          <t>Profit &amp; Loss</t>
        </is>
      </c>
    </row>
    <row r="2">
      <c r="A2" s="2" t="inlineStr">
        <is>
          <t>[Example Trading Co Pty Ltd] — formula-driven from Trial Balance Input</t>
        </is>
      </c>
    </row>
    <row r="3"/>
    <row r="4">
      <c r="A4" s="9" t="inlineStr"/>
      <c r="B4" s="9" t="inlineStr">
        <is>
          <t>Prior Period</t>
        </is>
      </c>
      <c r="C4" s="9" t="inlineStr">
        <is>
          <t>Current Period</t>
        </is>
      </c>
      <c r="D4" s="9" t="inlineStr">
        <is>
          <t>Variance</t>
        </is>
      </c>
    </row>
    <row r="5">
      <c r="A5" s="11" t="inlineStr">
        <is>
          <t>Revenue</t>
        </is>
      </c>
      <c r="B5" s="12">
        <f>SUMIF('Trial Balance Input'!$B$8:$B$207,"Revenue",'Trial Balance Input'!$C$8:$C$207)</f>
        <v>380000</v>
      </c>
      <c r="C5" s="12">
        <f>SUMIF('Trial Balance Input'!$B$8:$B$207,"Revenue",'Trial Balance Input'!$D$8:$D$207)</f>
        <v>450000</v>
      </c>
    </row>
    <row r="6">
      <c r="A6" s="11" t="inlineStr">
        <is>
          <t>less Cost of Goods Sold</t>
        </is>
      </c>
      <c r="B6" s="12">
        <f>SUMIF('Trial Balance Input'!$B$8:$B$207,"COGS",'Trial Balance Input'!$C$8:$C$207)</f>
        <v>190000</v>
      </c>
      <c r="C6" s="12">
        <f>SUMIF('Trial Balance Input'!$B$8:$B$207,"COGS",'Trial Balance Input'!$D$8:$D$207)</f>
        <v>220000</v>
      </c>
    </row>
    <row r="7">
      <c r="A7" s="13" t="inlineStr">
        <is>
          <t>Gross Profit</t>
        </is>
      </c>
      <c r="B7" s="14">
        <f>B5-B6</f>
        <v>190000</v>
      </c>
      <c r="C7" s="14">
        <f>C5-C6</f>
        <v>230000</v>
      </c>
      <c r="D7" s="15">
        <f>IFERROR((C7-B7)/ABS(B7),"-")</f>
        <v>0.21052631578947367</v>
      </c>
    </row>
    <row r="8"/>
    <row r="9">
      <c r="A9" s="11" t="inlineStr">
        <is>
          <t>less Operating Expenses</t>
        </is>
      </c>
      <c r="B9" s="12">
        <f>SUMIF('Trial Balance Input'!$B$8:$B$207,"Operating Expenses",'Trial Balance Input'!$C$8:$C$207)</f>
        <v>142000</v>
      </c>
      <c r="C9" s="12">
        <f>SUMIF('Trial Balance Input'!$B$8:$B$207,"Operating Expenses",'Trial Balance Input'!$D$8:$D$207)</f>
        <v>163000</v>
      </c>
    </row>
    <row r="10">
      <c r="A10" s="11" t="inlineStr">
        <is>
          <t>less Depreciation &amp; Amortisation</t>
        </is>
      </c>
      <c r="B10" s="12">
        <f>SUMIF('Trial Balance Input'!$B$8:$B$207,"Depreciation &amp; Amortisation",'Trial Balance Input'!$C$8:$C$207)</f>
        <v>12000</v>
      </c>
      <c r="C10" s="12">
        <f>SUMIF('Trial Balance Input'!$B$8:$B$207,"Depreciation &amp; Amortisation",'Trial Balance Input'!$D$8:$D$207)</f>
        <v>14000</v>
      </c>
    </row>
    <row r="11">
      <c r="A11" s="13" t="inlineStr">
        <is>
          <t>EBIT</t>
        </is>
      </c>
      <c r="B11" s="14">
        <f>B7-B9-B10</f>
        <v>36000</v>
      </c>
      <c r="C11" s="14">
        <f>C7-C9-C10</f>
        <v>53000</v>
      </c>
      <c r="D11" s="15">
        <f>IFERROR((C11-B11)/ABS(B11),"-")</f>
        <v>0.4722222222222222</v>
      </c>
    </row>
    <row r="12"/>
    <row r="13">
      <c r="A13" s="11" t="inlineStr">
        <is>
          <t>less Interest Expense</t>
        </is>
      </c>
      <c r="B13" s="12">
        <f>SUMIF('Trial Balance Input'!$B$8:$B$207,"Interest Expense",'Trial Balance Input'!$C$8:$C$207)</f>
        <v>5000</v>
      </c>
      <c r="C13" s="12">
        <f>SUMIF('Trial Balance Input'!$B$8:$B$207,"Interest Expense",'Trial Balance Input'!$D$8:$D$207)</f>
        <v>4500</v>
      </c>
    </row>
    <row r="14">
      <c r="A14" s="13" t="inlineStr">
        <is>
          <t>Profit before tax</t>
        </is>
      </c>
      <c r="B14" s="14">
        <f>B11-B13</f>
        <v>31000</v>
      </c>
      <c r="C14" s="14">
        <f>C11-C13</f>
        <v>48500</v>
      </c>
      <c r="D14" s="15">
        <f>IFERROR((C14-B14)/ABS(B14),"-")</f>
        <v>0.5645161290322581</v>
      </c>
    </row>
    <row r="15"/>
    <row r="16">
      <c r="A16" s="11" t="inlineStr">
        <is>
          <t>less Tax Expense</t>
        </is>
      </c>
      <c r="B16" s="12">
        <f>SUMIF('Trial Balance Input'!$B$8:$B$207,"Tax Expense",'Trial Balance Input'!$C$8:$C$207)</f>
        <v>8000</v>
      </c>
      <c r="C16" s="12">
        <f>SUMIF('Trial Balance Input'!$B$8:$B$207,"Tax Expense",'Trial Balance Input'!$D$8:$D$207)</f>
        <v>12000</v>
      </c>
    </row>
    <row r="17">
      <c r="A17" s="13" t="inlineStr">
        <is>
          <t>Net Profit</t>
        </is>
      </c>
      <c r="B17" s="14">
        <f>B14-B16</f>
        <v>23000</v>
      </c>
      <c r="C17" s="14">
        <f>C14-C16</f>
        <v>36500</v>
      </c>
      <c r="D17" s="15">
        <f>IFERROR((C17-B17)/ABS(B17),"-")</f>
        <v>0.5869565217391305</v>
      </c>
    </row>
    <row r="18"/>
    <row r="19"/>
    <row r="20">
      <c r="A20" s="3" t="inlineStr">
        <is>
          <t>Gross Margin %</t>
        </is>
      </c>
      <c r="B20" s="16">
        <f>IFERROR(B7/B5,"-")</f>
        <v>0.5</v>
      </c>
      <c r="C20" s="16">
        <f>IFERROR(C7/C5,"-")</f>
        <v>0.5111111111111111</v>
      </c>
    </row>
    <row r="21">
      <c r="A21" s="3" t="inlineStr">
        <is>
          <t>Net Margin %</t>
        </is>
      </c>
      <c r="B21" s="16">
        <f>IFERROR(B17/B5,"-")</f>
        <v>0.060526315789473685</v>
      </c>
      <c r="C21" s="16">
        <f>IFERROR(C17/C5,"-")</f>
        <v>0.0811111111111111</v>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8"/>
  <sheetViews>
    <sheetView showGridLines="0" workbookViewId="0">
      <selection activeCell="A1" sqref="A1"/>
    </sheetView>
  </sheetViews>
  <sheetFormatPr baseColWidth="8" defaultRowHeight="15"/>
  <cols>
    <col width="30" customWidth="1" min="1" max="1"/>
    <col width="16" customWidth="1" min="2" max="2"/>
    <col width="16" customWidth="1" min="3" max="3"/>
    <col width="12" customWidth="1" min="4" max="4"/>
  </cols>
  <sheetData>
    <row r="1">
      <c r="A1" s="1" t="inlineStr">
        <is>
          <t>Balance Sheet</t>
        </is>
      </c>
    </row>
    <row r="2">
      <c r="A2" s="2" t="inlineStr">
        <is>
          <t>[Example Trading Co Pty Ltd] — formula-driven from Trial Balance Input and P&amp;L</t>
        </is>
      </c>
    </row>
    <row r="3"/>
    <row r="4">
      <c r="A4" s="9" t="inlineStr"/>
      <c r="B4" s="9" t="inlineStr">
        <is>
          <t>Prior Period</t>
        </is>
      </c>
      <c r="C4" s="9" t="inlineStr">
        <is>
          <t>Current Period</t>
        </is>
      </c>
      <c r="D4" s="9" t="inlineStr"/>
    </row>
    <row r="5">
      <c r="A5" s="3" t="inlineStr">
        <is>
          <t>ASSETS</t>
        </is>
      </c>
    </row>
    <row r="6">
      <c r="A6" s="11" t="inlineStr">
        <is>
          <t xml:space="preserve">    Cash</t>
        </is>
      </c>
      <c r="B6" s="12">
        <f>SUMIF('Trial Balance Input'!$B$8:$B$207,"Cash",'Trial Balance Input'!$C$8:$C$207)</f>
        <v>48000</v>
      </c>
      <c r="C6" s="12">
        <f>SUMIF('Trial Balance Input'!$B$8:$B$207,"Cash",'Trial Balance Input'!$D$8:$D$207)</f>
        <v>39000</v>
      </c>
    </row>
    <row r="7">
      <c r="A7" s="11" t="inlineStr">
        <is>
          <t xml:space="preserve">    Other Current Assets (receivables, inventory, etc.)</t>
        </is>
      </c>
      <c r="B7" s="12">
        <f>SUMIF('Trial Balance Input'!$B$8:$B$207,"Other Current Assets",'Trial Balance Input'!$C$8:$C$207)</f>
        <v>73000</v>
      </c>
      <c r="C7" s="12">
        <f>SUMIF('Trial Balance Input'!$B$8:$B$207,"Other Current Assets",'Trial Balance Input'!$D$8:$D$207)</f>
        <v>86000</v>
      </c>
    </row>
    <row r="8">
      <c r="A8" s="13" t="inlineStr">
        <is>
          <t>Total Current Assets</t>
        </is>
      </c>
      <c r="B8" s="14">
        <f>B6+B7</f>
        <v>121000</v>
      </c>
      <c r="C8" s="14">
        <f>C6+C7</f>
        <v>125000</v>
      </c>
    </row>
    <row r="9">
      <c r="A9" s="11" t="inlineStr">
        <is>
          <t xml:space="preserve">    Non-Current Assets</t>
        </is>
      </c>
      <c r="B9" s="12">
        <f>SUMIF('Trial Balance Input'!$B$8:$B$207,"Non-Current Assets",'Trial Balance Input'!$C$8:$C$207)</f>
        <v>60000</v>
      </c>
      <c r="C9" s="12">
        <f>SUMIF('Trial Balance Input'!$B$8:$B$207,"Non-Current Assets",'Trial Balance Input'!$D$8:$D$207)</f>
        <v>70000</v>
      </c>
    </row>
    <row r="10">
      <c r="A10" s="13" t="inlineStr">
        <is>
          <t>TOTAL ASSETS</t>
        </is>
      </c>
      <c r="B10" s="14">
        <f>B8+B9</f>
        <v>181000</v>
      </c>
      <c r="C10" s="14">
        <f>C8+C9</f>
        <v>195000</v>
      </c>
    </row>
    <row r="11"/>
    <row r="12">
      <c r="A12" s="3" t="inlineStr">
        <is>
          <t>LIABILITIES</t>
        </is>
      </c>
    </row>
    <row r="13">
      <c r="A13" s="11" t="inlineStr">
        <is>
          <t xml:space="preserve">    Current Liabilities</t>
        </is>
      </c>
      <c r="B13" s="12">
        <f>SUMIF('Trial Balance Input'!$B$8:$B$207,"Current Liabilities",'Trial Balance Input'!$C$8:$C$207)</f>
        <v>28000</v>
      </c>
      <c r="C13" s="12">
        <f>SUMIF('Trial Balance Input'!$B$8:$B$207,"Current Liabilities",'Trial Balance Input'!$D$8:$D$207)</f>
        <v>33500</v>
      </c>
    </row>
    <row r="14">
      <c r="A14" s="11" t="inlineStr">
        <is>
          <t xml:space="preserve">    Non-Current Liabilities</t>
        </is>
      </c>
      <c r="B14" s="12">
        <f>SUMIF('Trial Balance Input'!$B$8:$B$207,"Non-Current Liabilities",'Trial Balance Input'!$C$8:$C$207)</f>
        <v>70000</v>
      </c>
      <c r="C14" s="12">
        <f>SUMIF('Trial Balance Input'!$B$8:$B$207,"Non-Current Liabilities",'Trial Balance Input'!$D$8:$D$207)</f>
        <v>60000</v>
      </c>
    </row>
    <row r="15">
      <c r="A15" s="13" t="inlineStr">
        <is>
          <t>TOTAL LIABILITIES</t>
        </is>
      </c>
      <c r="B15" s="14">
        <f>B13+B14</f>
        <v>98000</v>
      </c>
      <c r="C15" s="14">
        <f>C13+C14</f>
        <v>93500</v>
      </c>
    </row>
    <row r="16"/>
    <row r="17">
      <c r="A17" s="3" t="inlineStr">
        <is>
          <t>EQUITY</t>
        </is>
      </c>
    </row>
    <row r="18">
      <c r="A18" s="11" t="str">
        <f>IF('Trial Balance Input'!$B$6="Company","    Share Capital","    Owner's Capital")</f>
        <v>    Share Capital</v>
      </c>
      <c r="B18" s="12">
        <f>SUMIF('Trial Balance Input'!$B$8:$B$207,"Share Capital",'Trial Balance Input'!$C$8:$C$207)</f>
        <v>50000</v>
      </c>
      <c r="C18" s="12">
        <f>SUMIF('Trial Balance Input'!$B$8:$B$207,"Share Capital",'Trial Balance Input'!$D$8:$D$207)</f>
        <v>50000</v>
      </c>
    </row>
    <row r="19">
      <c r="A19" s="11" t="str">
        <f>IF('Trial Balance Input'!$B$6="Company","    (memo) Dividends paid in the period","    (memo) Owner drawings in the period")</f>
        <v>    (memo) Dividends paid in the period</v>
      </c>
      <c r="B19" s="12">
        <f>SUMIF('Trial Balance Input'!$B$8:$B$207,"Drawings/Dividends Paid",'Trial Balance Input'!$C$8:$C$207)</f>
        <v>15000</v>
      </c>
      <c r="C19" s="12">
        <f>SUMIF('Trial Balance Input'!$B$8:$B$207,"Drawings/Dividends Paid",'Trial Balance Input'!$D$8:$D$207)</f>
        <v>18000</v>
      </c>
    </row>
    <row r="20">
      <c r="A20" s="11" t="inlineStr">
        <is>
          <t>Retained Earnings (closing)</t>
        </is>
      </c>
      <c r="B20" s="12">
        <f>'Trial Balance Input'!$C$5+'P&amp;L'!B17-B19</f>
        <v>33000</v>
      </c>
      <c r="C20" s="12">
        <f>B20+'P&amp;L'!C17-C19</f>
        <v>51500</v>
      </c>
    </row>
    <row r="21">
      <c r="A21" s="13" t="inlineStr">
        <is>
          <t>TOTAL EQUITY</t>
        </is>
      </c>
      <c r="B21" s="14">
        <f>B18+B20</f>
        <v>83000</v>
      </c>
      <c r="C21" s="14">
        <f>C18+C20</f>
        <v>101500</v>
      </c>
    </row>
    <row r="22"/>
    <row r="23">
      <c r="A23" s="13" t="inlineStr">
        <is>
          <t>TOTAL LIABILITIES + EQUITY</t>
        </is>
      </c>
      <c r="B23" s="14">
        <f>B15+B21</f>
        <v>181000</v>
      </c>
      <c r="C23" s="14">
        <f>C15+C21</f>
        <v>195000</v>
      </c>
    </row>
    <row r="24"/>
    <row r="25">
      <c r="A25" s="3" t="inlineStr">
        <is>
          <t>Balance check (Assets − Liabilities − Equity)</t>
        </is>
      </c>
      <c r="B25" s="12">
        <f>B10-B23</f>
        <v>0</v>
      </c>
      <c r="C25" s="12">
        <f>C10-C23</f>
        <v>0</v>
      </c>
    </row>
    <row r="26">
      <c r="A26" s="17" t="str">
        <f>IF(AND(ABS(B25)&lt;1,ABS(C25)&lt;1),"TIES — Assets = Liabilities + Equity, both periods","EXCEPTION — does not balance, review the trial balance categorisation")</f>
        <v>TIES — Assets = Liabilities + Equity, both periods</v>
      </c>
    </row>
    <row r="27">
      <c r="A27" s="17" t="str">
        <f>IF('Trial Balance Input'!$B$3=0,"All trial balance rows categorised","EXCEPTION — "&amp;'Trial Balance Input'!$B$3&amp;" trial balance row(s) have a missing or misspelled category (Input tab, column E)")</f>
        <v>All trial balance rows categorised</v>
      </c>
    </row>
    <row r="28">
      <c r="A28" s="23" t="str">
        <f>IF('Trial Balance Input'!$B$6="Company","Company: confirm the Dividends line holds declared dividends only. Money the owner takes out otherwise is a director loan — review Division 7A.","")</f>
        <v>Company: confirm the Dividends line holds declared dividends only. Money the owner takes out otherwise is a director loan — review Division 7A.</v>
      </c>
    </row>
  </sheetData>
  <mergeCells count="3">
    <mergeCell ref="A1:D1"/>
    <mergeCell ref="A26:D26"/>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42" customWidth="1" min="1" max="1"/>
    <col width="16" customWidth="1" min="2" max="2"/>
    <col width="60" customWidth="1" min="3" max="3"/>
  </cols>
  <sheetData>
    <row r="1">
      <c r="A1" s="1" t="inlineStr">
        <is>
          <t>Cash Flow Statement (indirect method)</t>
        </is>
      </c>
    </row>
    <row r="2">
      <c r="A2" s="2" t="inlineStr">
        <is>
          <t>[Example Trading Co Pty Ltd] — current period movement, formula-driven from P&amp;L and Balance Sheet</t>
        </is>
      </c>
    </row>
    <row r="3"/>
    <row r="4">
      <c r="A4" s="9" t="inlineStr"/>
      <c r="B4" s="9" t="inlineStr">
        <is>
          <t>Current Period</t>
        </is>
      </c>
      <c r="C4" s="9" t="inlineStr">
        <is>
          <t>Basis</t>
        </is>
      </c>
    </row>
    <row r="5">
      <c r="A5" s="3" t="inlineStr">
        <is>
          <t>Operating Activities</t>
        </is>
      </c>
    </row>
    <row r="6">
      <c r="A6" s="11" t="inlineStr">
        <is>
          <t>Net Profit</t>
        </is>
      </c>
      <c r="B6" s="12">
        <f>'P&amp;L'!C17</f>
        <v>36500</v>
      </c>
      <c r="C6" s="2" t="inlineStr">
        <is>
          <t>P&amp;L, current period</t>
        </is>
      </c>
    </row>
    <row r="7">
      <c r="A7" s="11" t="inlineStr">
        <is>
          <t>+ Depreciation &amp; Amortisation (non-cash addback)</t>
        </is>
      </c>
      <c r="B7" s="12">
        <f>SUMIF('Trial Balance Input'!$B$8:$B$207,"Depreciation &amp; Amortisation",'Trial Balance Input'!$D$8:$D$207)</f>
        <v>14000</v>
      </c>
      <c r="C7" s="2" t="inlineStr">
        <is>
          <t>Trial Balance, current period</t>
        </is>
      </c>
    </row>
    <row r="8">
      <c r="A8" s="11" t="inlineStr">
        <is>
          <t>− Increase in Other Current Assets</t>
        </is>
      </c>
      <c r="B8" s="12">
        <f>-('Balance Sheet'!C7-'Balance Sheet'!B7)</f>
        <v>-13000</v>
      </c>
      <c r="C8" s="2" t="inlineStr">
        <is>
          <t>Balance Sheet movement, Other Current Assets</t>
        </is>
      </c>
    </row>
    <row r="9">
      <c r="A9" s="11" t="inlineStr">
        <is>
          <t>+ Increase in Current Liabilities</t>
        </is>
      </c>
      <c r="B9" s="12">
        <f>'Balance Sheet'!C13-'Balance Sheet'!B13</f>
        <v>5500</v>
      </c>
      <c r="C9" s="2" t="inlineStr">
        <is>
          <t>Balance Sheet movement, Current Liabilities</t>
        </is>
      </c>
    </row>
    <row r="10">
      <c r="A10" s="13" t="inlineStr">
        <is>
          <t>Net Cash from Operating Activities</t>
        </is>
      </c>
      <c r="B10" s="14">
        <f>SUM(B6:B9)</f>
        <v>43000</v>
      </c>
      <c r="C10" s="2" t="inlineStr"/>
    </row>
    <row r="11"/>
    <row r="12">
      <c r="A12" s="3" t="inlineStr">
        <is>
          <t>Investing Activities</t>
        </is>
      </c>
    </row>
    <row r="13">
      <c r="A13" s="11" t="inlineStr">
        <is>
          <t>− Purchase of Non-Current Assets (net capex)</t>
        </is>
      </c>
      <c r="B13" s="12">
        <f>-(('Balance Sheet'!C9-'Balance Sheet'!B9)+B7)</f>
        <v>-24000</v>
      </c>
      <c r="C13" s="2" t="inlineStr">
        <is>
          <t>NCA closing − NCA opening + Depreciation addback (grosses the net BS movement back up to cash capex)</t>
        </is>
      </c>
    </row>
    <row r="14">
      <c r="A14" s="13" t="inlineStr">
        <is>
          <t>Net Cash from Investing Activities</t>
        </is>
      </c>
      <c r="B14" s="14">
        <f>B13</f>
        <v>-24000</v>
      </c>
      <c r="C14" s="2" t="inlineStr"/>
    </row>
    <row r="15"/>
    <row r="16">
      <c r="A16" s="3" t="inlineStr">
        <is>
          <t>Financing Activities</t>
        </is>
      </c>
    </row>
    <row r="17">
      <c r="A17" s="11" t="inlineStr">
        <is>
          <t>+ Increase in Share Capital</t>
        </is>
      </c>
      <c r="B17" s="12">
        <f>'Balance Sheet'!C18-'Balance Sheet'!B18</f>
        <v>0</v>
      </c>
      <c r="C17" s="2" t="inlineStr">
        <is>
          <t>Balance Sheet movement, Share Capital</t>
        </is>
      </c>
    </row>
    <row r="18">
      <c r="A18" s="11" t="inlineStr">
        <is>
          <t>− Drawings / Dividends Paid</t>
        </is>
      </c>
      <c r="B18" s="12">
        <f>-'Balance Sheet'!C19</f>
        <v>-18000</v>
      </c>
      <c r="C18" s="2" t="inlineStr">
        <is>
          <t>Trial Balance, current period</t>
        </is>
      </c>
    </row>
    <row r="19">
      <c r="A19" s="11" t="inlineStr">
        <is>
          <t>+/− Movement in Non-Current Liabilities</t>
        </is>
      </c>
      <c r="B19" s="12">
        <f>'Balance Sheet'!C14-'Balance Sheet'!B14</f>
        <v>-10000</v>
      </c>
      <c r="C19" s="2" t="inlineStr">
        <is>
          <t>Balance Sheet movement, Non-Current Liabilities (e.g. loan drawdown/repayment)</t>
        </is>
      </c>
    </row>
    <row r="20">
      <c r="A20" s="13" t="inlineStr">
        <is>
          <t>Net Cash from Financing Activities</t>
        </is>
      </c>
      <c r="B20" s="14">
        <f>SUM(B17:B19)</f>
        <v>-28000</v>
      </c>
      <c r="C20" s="2" t="inlineStr"/>
    </row>
    <row r="21"/>
    <row r="22">
      <c r="A22" s="13" t="inlineStr">
        <is>
          <t>Net Increase/(Decrease) in Cash</t>
        </is>
      </c>
      <c r="B22" s="14">
        <f>B10+B14+B20</f>
        <v>-9000</v>
      </c>
      <c r="C22" s="2" t="inlineStr"/>
    </row>
    <row r="23">
      <c r="A23" s="11" t="inlineStr">
        <is>
          <t>Opening Cash</t>
        </is>
      </c>
      <c r="B23" s="12">
        <f>'Balance Sheet'!B6</f>
        <v>48000</v>
      </c>
      <c r="C23" s="2" t="inlineStr">
        <is>
          <t>Balance Sheet, Cash, prior period</t>
        </is>
      </c>
    </row>
    <row r="24">
      <c r="A24" s="13" t="inlineStr">
        <is>
          <t>Closing Cash (computed)</t>
        </is>
      </c>
      <c r="B24" s="14">
        <f>B23+B22</f>
        <v>39000</v>
      </c>
      <c r="C24" s="2" t="inlineStr"/>
    </row>
    <row r="25">
      <c r="A25" s="11" t="inlineStr">
        <is>
          <t>Closing Cash (per Balance Sheet)</t>
        </is>
      </c>
      <c r="B25" s="12">
        <f>'Balance Sheet'!C6</f>
        <v>39000</v>
      </c>
      <c r="C25" s="2" t="inlineStr">
        <is>
          <t>Balance Sheet, Cash, current period</t>
        </is>
      </c>
    </row>
    <row r="26"/>
    <row r="27">
      <c r="A27" s="3" t="inlineStr">
        <is>
          <t>Tie-out check</t>
        </is>
      </c>
      <c r="B27" s="12">
        <f>B24-B25</f>
        <v>0</v>
      </c>
    </row>
    <row r="28">
      <c r="A28" s="17" t="str">
        <f>IF(ABS(B27)&lt;1,"TIES — computed closing cash equals the Balance Sheet cash balance","EXCEPTION — does not tie, review the trial balance categorisation")</f>
        <v>TIES — computed closing cash equals the Balance Sheet cash balance</v>
      </c>
    </row>
  </sheetData>
  <mergeCells count="3">
    <mergeCell ref="A1:C1"/>
    <mergeCell ref="A28:C28"/>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showGridLines="0" workbookViewId="0">
      <selection activeCell="A1" sqref="A1"/>
    </sheetView>
  </sheetViews>
  <sheetFormatPr baseColWidth="8" defaultRowHeight="15"/>
  <cols>
    <col width="32" customWidth="1" min="1" max="1"/>
    <col width="16" customWidth="1" min="2" max="2"/>
    <col width="16" customWidth="1" min="3" max="3"/>
    <col width="40" customWidth="1" min="4" max="4"/>
  </cols>
  <sheetData>
    <row r="1">
      <c r="A1" s="1" t="inlineStr">
        <is>
          <t>Dashboard KPIs</t>
        </is>
      </c>
    </row>
    <row r="2">
      <c r="A2" s="2" t="inlineStr">
        <is>
          <t>[Example Trading Co Pty Ltd] — same metrics the React client dashboard (product/dashboard/) presents</t>
        </is>
      </c>
    </row>
    <row r="3"/>
    <row r="4">
      <c r="A4" s="9" t="inlineStr">
        <is>
          <t>KPI</t>
        </is>
      </c>
      <c r="B4" s="9" t="inlineStr">
        <is>
          <t>Prior Period</t>
        </is>
      </c>
      <c r="C4" s="9" t="inlineStr">
        <is>
          <t>Current Period</t>
        </is>
      </c>
      <c r="D4" s="9" t="inlineStr">
        <is>
          <t>How it’s calculated</t>
        </is>
      </c>
    </row>
    <row r="5">
      <c r="A5" s="3" t="inlineStr">
        <is>
          <t>Revenue</t>
        </is>
      </c>
      <c r="B5" s="12">
        <f>'P&amp;L'!B5</f>
        <v>380000</v>
      </c>
      <c r="C5" s="12">
        <f>'P&amp;L'!C5</f>
        <v>450000</v>
      </c>
      <c r="D5" s="2" t="inlineStr">
        <is>
          <t>P&amp;L</t>
        </is>
      </c>
    </row>
    <row r="6">
      <c r="A6" s="3" t="inlineStr">
        <is>
          <t>Net Profit</t>
        </is>
      </c>
      <c r="B6" s="12">
        <f>'P&amp;L'!B17</f>
        <v>23000</v>
      </c>
      <c r="C6" s="12">
        <f>'P&amp;L'!C17</f>
        <v>36500</v>
      </c>
      <c r="D6" s="2" t="inlineStr">
        <is>
          <t>P&amp;L</t>
        </is>
      </c>
    </row>
    <row r="7">
      <c r="A7" s="3" t="inlineStr">
        <is>
          <t>Revenue Growth %</t>
        </is>
      </c>
      <c r="B7" s="18" t="inlineStr">
        <is>
          <t>n/a</t>
        </is>
      </c>
      <c r="C7" s="16">
        <f>IFERROR((C5-B5)/ABS(B5),"-")</f>
        <v>0.18421052631578946</v>
      </c>
      <c r="D7" s="2" t="inlineStr">
        <is>
          <t>This period vs prior</t>
        </is>
      </c>
    </row>
    <row r="8">
      <c r="A8" s="3" t="inlineStr">
        <is>
          <t>Gross Margin %</t>
        </is>
      </c>
      <c r="B8" s="16">
        <f>'P&amp;L'!B20</f>
        <v>0.5</v>
      </c>
      <c r="C8" s="16">
        <f>'P&amp;L'!C20</f>
        <v>0.5111111111111111</v>
      </c>
      <c r="D8" s="2" t="inlineStr">
        <is>
          <t>P&amp;L</t>
        </is>
      </c>
    </row>
    <row r="9">
      <c r="A9" s="3" t="inlineStr">
        <is>
          <t>Net Margin %</t>
        </is>
      </c>
      <c r="B9" s="16">
        <f>'P&amp;L'!B21</f>
        <v>0.060526315789473685</v>
      </c>
      <c r="C9" s="16">
        <f>'P&amp;L'!C21</f>
        <v>0.0811111111111111</v>
      </c>
      <c r="D9" s="2" t="inlineStr">
        <is>
          <t>P&amp;L</t>
        </is>
      </c>
    </row>
    <row r="10">
      <c r="A10" s="3" t="inlineStr">
        <is>
          <t>Current Ratio</t>
        </is>
      </c>
      <c r="B10" s="19">
        <f>IFERROR('Balance Sheet'!B8/'Balance Sheet'!B13,"-")</f>
        <v>4.321428571428571</v>
      </c>
      <c r="C10" s="19">
        <f>IFERROR('Balance Sheet'!C8/'Balance Sheet'!C13,"-")</f>
        <v>3.7313432835820897</v>
      </c>
      <c r="D10" s="2" t="inlineStr">
        <is>
          <t>Total Current Assets ÷ Current Liabilities</t>
        </is>
      </c>
    </row>
    <row r="11">
      <c r="A11" s="3" t="inlineStr">
        <is>
          <t>Cash Ratio</t>
        </is>
      </c>
      <c r="B11" s="19">
        <f>IFERROR('Balance Sheet'!B6/'Balance Sheet'!B13,"-")</f>
        <v>1.7142857142857142</v>
      </c>
      <c r="C11" s="19">
        <f>IFERROR('Balance Sheet'!C6/'Balance Sheet'!C13,"-")</f>
        <v>1.164179104477612</v>
      </c>
      <c r="D11" s="2" t="inlineStr">
        <is>
          <t>Cash ÷ Current Liabilities</t>
        </is>
      </c>
    </row>
    <row r="12">
      <c r="A12" s="3" t="inlineStr">
        <is>
          <t>Debt-to-Equity</t>
        </is>
      </c>
      <c r="B12" s="19">
        <f>IFERROR('Balance Sheet'!B15/'Balance Sheet'!B21,"-")</f>
        <v>1.180722891566265</v>
      </c>
      <c r="C12" s="19">
        <f>IFERROR('Balance Sheet'!C15/'Balance Sheet'!C21,"-")</f>
        <v>0.9211822660098522</v>
      </c>
      <c r="D12" s="2" t="inlineStr">
        <is>
          <t>Total Liabilities ÷ Total Equity</t>
        </is>
      </c>
    </row>
    <row r="13">
      <c r="A13" s="3" t="inlineStr">
        <is>
          <t>Net Cash Movement (current period)</t>
        </is>
      </c>
      <c r="B13" s="12" t="inlineStr"/>
      <c r="C13" s="12">
        <f>'Cash Flow'!B22</f>
        <v>-9000</v>
      </c>
      <c r="D13" s="2" t="inlineStr">
        <is>
          <t>Cash Flow statement</t>
        </is>
      </c>
    </row>
    <row r="14"/>
    <row r="15" ht="30" customHeight="1">
      <c r="A15" s="20" t="inlineStr">
        <is>
          <t>These are the same figures to carry into product/dashboard/src/components/dashboard/*Card.tsx when building this client’s real dashboard — see docs/SERVICE-MODEL.md §5 for the tailoring checklist.</t>
        </is>
      </c>
    </row>
  </sheetData>
  <mergeCells count="3">
    <mergeCell ref="A1:D1"/>
    <mergeCell ref="A2:D2"/>
    <mergeCell ref="A15:D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44" customWidth="1" min="1" max="1"/>
    <col width="20" customWidth="1" min="2" max="2"/>
    <col width="20" customWidth="1" min="3" max="3"/>
    <col width="20" customWidth="1" min="4" max="4"/>
  </cols>
  <sheetData>
    <row r="1">
      <c r="A1" s="1" t="inlineStr">
        <is>
          <t>Monthly figures (optional)</t>
        </is>
      </c>
    </row>
    <row r="2">
      <c r="A2" s="2" t="inlineStr">
        <is>
          <t>Blue cells only. Fill to draw the month-by-month charts on the client web dashboard. Totals must agree to the P&amp;L once all 12 months are in.</t>
        </is>
      </c>
    </row>
    <row r="4">
      <c r="A4" s="9" t="inlineStr">
        <is>
          <t>Month</t>
        </is>
      </c>
      <c r="B4" s="9" t="inlineStr">
        <is>
          <t>Revenue ($)</t>
        </is>
      </c>
      <c r="C4" s="9" t="inlineStr">
        <is>
          <t>Net Profit ($)</t>
        </is>
      </c>
      <c r="D4" s="9" t="inlineStr">
        <is>
          <t>Cash at month end ($)</t>
        </is>
      </c>
    </row>
    <row r="5">
      <c r="A5" s="21" t="n"/>
      <c r="B5" s="24" t="n"/>
      <c r="C5" s="24" t="n"/>
      <c r="D5" s="24" t="n"/>
    </row>
    <row r="6">
      <c r="A6" s="21" t="n"/>
      <c r="B6" s="24" t="n"/>
      <c r="C6" s="24" t="n"/>
      <c r="D6" s="24" t="n"/>
    </row>
    <row r="7">
      <c r="A7" s="21" t="n"/>
      <c r="B7" s="24" t="n"/>
      <c r="C7" s="24" t="n"/>
      <c r="D7" s="24" t="n"/>
    </row>
    <row r="8">
      <c r="A8" s="21" t="n"/>
      <c r="B8" s="24" t="n"/>
      <c r="C8" s="24" t="n"/>
      <c r="D8" s="24" t="n"/>
    </row>
    <row r="9">
      <c r="A9" s="21" t="n"/>
      <c r="B9" s="24" t="n"/>
      <c r="C9" s="24" t="n"/>
      <c r="D9" s="24" t="n"/>
    </row>
    <row r="10">
      <c r="A10" s="21" t="n"/>
      <c r="B10" s="24" t="n"/>
      <c r="C10" s="24" t="n"/>
      <c r="D10" s="24" t="n"/>
    </row>
    <row r="11">
      <c r="A11" s="21" t="n"/>
      <c r="B11" s="24" t="n"/>
      <c r="C11" s="24" t="n"/>
      <c r="D11" s="24" t="n"/>
    </row>
    <row r="12">
      <c r="A12" s="21" t="n"/>
      <c r="B12" s="24" t="n"/>
      <c r="C12" s="24" t="n"/>
      <c r="D12" s="24" t="n"/>
    </row>
    <row r="13">
      <c r="A13" s="21" t="n"/>
      <c r="B13" s="24" t="n"/>
      <c r="C13" s="24" t="n"/>
      <c r="D13" s="24" t="n"/>
    </row>
    <row r="14">
      <c r="A14" s="21" t="n"/>
      <c r="B14" s="24" t="n"/>
      <c r="C14" s="24" t="n"/>
      <c r="D14" s="24" t="n"/>
    </row>
    <row r="15">
      <c r="A15" s="21" t="n"/>
      <c r="B15" s="24" t="n"/>
      <c r="C15" s="24" t="n"/>
      <c r="D15" s="24" t="n"/>
    </row>
    <row r="16">
      <c r="A16" s="21" t="n"/>
      <c r="B16" s="24" t="n"/>
      <c r="C16" s="24" t="n"/>
      <c r="D16" s="24" t="n"/>
    </row>
    <row r="17">
      <c r="A17" s="3" t="inlineStr">
        <is>
          <t>Total</t>
        </is>
      </c>
      <c r="B17" s="25">
        <f>SUM(B5:B16)</f>
        <v>0</v>
      </c>
      <c r="C17" s="25">
        <f>SUM(C5:C16)</f>
        <v>0</v>
      </c>
    </row>
    <row r="19">
      <c r="A19" s="3" t="inlineStr">
        <is>
          <t>Difference to P&amp;L (should be $0)</t>
        </is>
      </c>
      <c r="B19" s="26" t="str">
        <f>IF(COUNT(B5:B16)=12,B17-'P&amp;L'!C5,"-")</f>
        <v>-</v>
      </c>
      <c r="C19" s="26" t="str">
        <f>IF(COUNT(C5:C16)=12,C17-'P&amp;L'!C17,"-")</f>
        <v>-</v>
      </c>
    </row>
    <row r="20">
      <c r="A20" s="3" t="inlineStr">
        <is>
          <t>Last month cash vs Balance Sheet (should be $0)</t>
        </is>
      </c>
      <c r="D20" s="26" t="str">
        <f>IF(ISNUMBER(D16),D16-'Balance Sheet'!C6,"-")</f>
        <v>-</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2026-10-05T13:24:18Z</dcterms:created>
  <dcterms:modified xsi:type="dcterms:W3CDTF">2026-10-05T13:48:54Z</dcterms:modified>
</cp:coreProperties>
</file>